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F:\BHUMI\INVOICE\"/>
    </mc:Choice>
  </mc:AlternateContent>
  <xr:revisionPtr revIDLastSave="0" documentId="13_ncr:1_{952FABDF-5513-40D8-AC22-DA417E42EF23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Rekap Invoice" sheetId="13" r:id="rId1"/>
    <sheet name="Invoice 001" sheetId="3" r:id="rId2"/>
    <sheet name="Customer ID" sheetId="19" r:id="rId3"/>
  </sheets>
  <definedNames>
    <definedName name="_xlnm._FilterDatabase" localSheetId="1" hidden="1">'Invoice 001'!$F$3:$G$6</definedName>
    <definedName name="_xlnm.Print_Area" localSheetId="1">'Invoice 001'!$A$1:$G$50</definedName>
    <definedName name="valuevx">42.314159</definedName>
    <definedName name="vertex42_copyright" hidden="1">"© 2010-2025 Vertex42 LLC"</definedName>
    <definedName name="vertex42_id" hidden="1">"invoice-template.xlsx"</definedName>
    <definedName name="vertex42_title" hidden="1">"Invoice Template"</definedName>
  </definedNames>
  <calcPr calcId="191029"/>
</workbook>
</file>

<file path=xl/calcChain.xml><?xml version="1.0" encoding="utf-8"?>
<calcChain xmlns="http://schemas.openxmlformats.org/spreadsheetml/2006/main">
  <c r="O18" i="13" l="1"/>
  <c r="N18" i="13"/>
  <c r="N12" i="13"/>
  <c r="S12" i="13" l="1"/>
  <c r="R12" i="13"/>
  <c r="U12" i="13" s="1"/>
  <c r="O12" i="13"/>
  <c r="G40" i="3"/>
  <c r="G39" i="3"/>
  <c r="G38" i="3"/>
  <c r="G37" i="3"/>
  <c r="G36" i="3"/>
  <c r="G35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F18" i="3"/>
  <c r="E18" i="3"/>
  <c r="A18" i="3"/>
  <c r="C15" i="3"/>
  <c r="C14" i="3"/>
  <c r="C13" i="3"/>
  <c r="C12" i="3"/>
  <c r="C11" i="3"/>
  <c r="G6" i="3"/>
  <c r="G5" i="3"/>
  <c r="G3" i="3"/>
  <c r="U52" i="13"/>
  <c r="S52" i="13"/>
  <c r="R52" i="13"/>
  <c r="O52" i="13"/>
  <c r="N52" i="13"/>
  <c r="U51" i="13"/>
  <c r="S51" i="13"/>
  <c r="R51" i="13"/>
  <c r="O51" i="13"/>
  <c r="N51" i="13"/>
  <c r="U50" i="13"/>
  <c r="S50" i="13"/>
  <c r="R50" i="13"/>
  <c r="O50" i="13"/>
  <c r="N50" i="13"/>
  <c r="U49" i="13"/>
  <c r="S49" i="13"/>
  <c r="R49" i="13"/>
  <c r="O49" i="13"/>
  <c r="N49" i="13"/>
  <c r="U48" i="13"/>
  <c r="S48" i="13"/>
  <c r="R48" i="13"/>
  <c r="O48" i="13"/>
  <c r="N48" i="13"/>
  <c r="U47" i="13"/>
  <c r="S47" i="13"/>
  <c r="R47" i="13"/>
  <c r="O47" i="13"/>
  <c r="N47" i="13"/>
  <c r="U46" i="13"/>
  <c r="S46" i="13"/>
  <c r="R46" i="13"/>
  <c r="O46" i="13"/>
  <c r="N46" i="13"/>
  <c r="U45" i="13"/>
  <c r="S45" i="13"/>
  <c r="R45" i="13"/>
  <c r="O45" i="13"/>
  <c r="N45" i="13"/>
  <c r="U44" i="13"/>
  <c r="S44" i="13"/>
  <c r="R44" i="13"/>
  <c r="O44" i="13"/>
  <c r="N44" i="13"/>
  <c r="U43" i="13"/>
  <c r="S43" i="13"/>
  <c r="R43" i="13"/>
  <c r="O43" i="13"/>
  <c r="N43" i="13"/>
  <c r="U42" i="13"/>
  <c r="S42" i="13"/>
  <c r="R42" i="13"/>
  <c r="O42" i="13"/>
  <c r="N42" i="13"/>
  <c r="U41" i="13"/>
  <c r="S41" i="13"/>
  <c r="R41" i="13"/>
  <c r="O41" i="13"/>
  <c r="N41" i="13"/>
  <c r="U40" i="13"/>
  <c r="S40" i="13"/>
  <c r="R40" i="13"/>
  <c r="O40" i="13"/>
  <c r="N40" i="13"/>
  <c r="U39" i="13"/>
  <c r="S39" i="13"/>
  <c r="R39" i="13"/>
  <c r="O39" i="13"/>
  <c r="N39" i="13"/>
  <c r="U38" i="13"/>
  <c r="S38" i="13"/>
  <c r="R38" i="13"/>
  <c r="O38" i="13"/>
  <c r="N38" i="13"/>
  <c r="U37" i="13"/>
  <c r="S37" i="13"/>
  <c r="R37" i="13"/>
  <c r="O37" i="13"/>
  <c r="N37" i="13"/>
  <c r="U36" i="13"/>
  <c r="S36" i="13"/>
  <c r="R36" i="13"/>
  <c r="O36" i="13"/>
  <c r="N36" i="13"/>
  <c r="U35" i="13"/>
  <c r="S35" i="13"/>
  <c r="R35" i="13"/>
  <c r="O35" i="13"/>
  <c r="N35" i="13"/>
  <c r="U34" i="13"/>
  <c r="S34" i="13"/>
  <c r="R34" i="13"/>
  <c r="O34" i="13"/>
  <c r="N34" i="13"/>
  <c r="U33" i="13"/>
  <c r="S33" i="13"/>
  <c r="R33" i="13"/>
  <c r="O33" i="13"/>
  <c r="N33" i="13"/>
  <c r="U32" i="13"/>
  <c r="S32" i="13"/>
  <c r="R32" i="13"/>
  <c r="O32" i="13"/>
  <c r="N32" i="13"/>
  <c r="U31" i="13"/>
  <c r="S31" i="13"/>
  <c r="R31" i="13"/>
  <c r="O31" i="13"/>
  <c r="N31" i="13"/>
  <c r="U30" i="13"/>
  <c r="S30" i="13"/>
  <c r="R30" i="13"/>
  <c r="O30" i="13"/>
  <c r="N30" i="13"/>
  <c r="U29" i="13"/>
  <c r="S29" i="13"/>
  <c r="R29" i="13"/>
  <c r="O29" i="13"/>
  <c r="N29" i="13"/>
  <c r="U28" i="13"/>
  <c r="S28" i="13"/>
  <c r="R28" i="13"/>
  <c r="O28" i="13"/>
  <c r="N28" i="13"/>
  <c r="U27" i="13"/>
  <c r="S27" i="13"/>
  <c r="R27" i="13"/>
  <c r="O27" i="13"/>
  <c r="N27" i="13"/>
  <c r="U26" i="13"/>
  <c r="S26" i="13"/>
  <c r="R26" i="13"/>
  <c r="O26" i="13"/>
  <c r="N26" i="13"/>
  <c r="U25" i="13"/>
  <c r="S25" i="13"/>
  <c r="R25" i="13"/>
  <c r="O25" i="13"/>
  <c r="N25" i="13"/>
  <c r="U24" i="13"/>
  <c r="S24" i="13"/>
  <c r="R24" i="13"/>
  <c r="N24" i="13"/>
  <c r="O24" i="13" s="1"/>
  <c r="U23" i="13"/>
  <c r="S23" i="13"/>
  <c r="R23" i="13"/>
  <c r="O23" i="13"/>
  <c r="N23" i="13"/>
  <c r="U22" i="13"/>
  <c r="S22" i="13"/>
  <c r="R22" i="13"/>
  <c r="O22" i="13"/>
  <c r="N22" i="13"/>
  <c r="U21" i="13"/>
  <c r="S21" i="13"/>
  <c r="R21" i="13"/>
  <c r="N21" i="13"/>
  <c r="O21" i="13" s="1"/>
  <c r="U20" i="13"/>
  <c r="S20" i="13"/>
  <c r="R20" i="13"/>
  <c r="N20" i="13"/>
  <c r="O20" i="13" s="1"/>
  <c r="U19" i="13"/>
  <c r="S19" i="13"/>
  <c r="R19" i="13"/>
  <c r="O19" i="13"/>
  <c r="N19" i="13"/>
  <c r="U17" i="13"/>
  <c r="S17" i="13"/>
  <c r="R17" i="13"/>
  <c r="N17" i="13"/>
  <c r="O17" i="13" s="1"/>
  <c r="U16" i="13"/>
  <c r="S16" i="13"/>
  <c r="R16" i="13"/>
  <c r="N16" i="13"/>
  <c r="O16" i="13" s="1"/>
  <c r="U15" i="13"/>
  <c r="S15" i="13"/>
  <c r="R15" i="13"/>
  <c r="N15" i="13"/>
  <c r="O15" i="13" s="1"/>
  <c r="G34" i="3" s="1"/>
  <c r="U14" i="13"/>
  <c r="S14" i="13"/>
  <c r="R14" i="13"/>
  <c r="N14" i="13"/>
  <c r="O14" i="13" s="1"/>
  <c r="U13" i="13"/>
  <c r="S13" i="13"/>
  <c r="R13" i="13"/>
  <c r="N13" i="13"/>
  <c r="O13" i="13" s="1"/>
  <c r="U11" i="13"/>
  <c r="S11" i="13"/>
  <c r="R11" i="13"/>
  <c r="N11" i="13"/>
  <c r="O11" i="13" s="1"/>
  <c r="U10" i="13"/>
  <c r="S10" i="13"/>
  <c r="R10" i="13"/>
  <c r="O10" i="13"/>
  <c r="N10" i="13"/>
  <c r="U9" i="13"/>
  <c r="S9" i="13"/>
  <c r="R9" i="13"/>
  <c r="O9" i="13"/>
  <c r="N9" i="13"/>
  <c r="A9" i="13"/>
  <c r="U8" i="13"/>
  <c r="S8" i="13"/>
  <c r="R8" i="13"/>
  <c r="O8" i="13"/>
  <c r="A8" i="13"/>
  <c r="U7" i="13"/>
  <c r="S7" i="13"/>
  <c r="R7" i="13"/>
  <c r="O7" i="13"/>
  <c r="N7" i="13"/>
  <c r="A7" i="13"/>
  <c r="U6" i="13"/>
  <c r="S6" i="13"/>
  <c r="R6" i="13"/>
  <c r="O6" i="13"/>
  <c r="N6" i="13"/>
  <c r="A6" i="13"/>
  <c r="U5" i="13"/>
  <c r="S5" i="13"/>
  <c r="R5" i="13"/>
  <c r="O5" i="13"/>
  <c r="N5" i="13"/>
  <c r="A5" i="13"/>
  <c r="U4" i="13"/>
  <c r="S4" i="13"/>
  <c r="R4" i="13"/>
  <c r="O4" i="13"/>
  <c r="N4" i="13"/>
  <c r="A4" i="13"/>
  <c r="U3" i="13"/>
  <c r="S3" i="13"/>
  <c r="R3" i="13"/>
  <c r="O3" i="13"/>
  <c r="N3" i="13"/>
  <c r="G18" i="3" l="1"/>
  <c r="Q18" i="13" l="1"/>
  <c r="R18" i="13" l="1"/>
  <c r="S18" i="13" s="1"/>
  <c r="U18" i="13" l="1"/>
</calcChain>
</file>

<file path=xl/sharedStrings.xml><?xml version="1.0" encoding="utf-8"?>
<sst xmlns="http://schemas.openxmlformats.org/spreadsheetml/2006/main" count="477" uniqueCount="193">
  <si>
    <t>NO</t>
  </si>
  <si>
    <t>DATE</t>
  </si>
  <si>
    <t>INVOICE</t>
  </si>
  <si>
    <t>CUSTOMER ID</t>
  </si>
  <si>
    <t>DUE DATE</t>
  </si>
  <si>
    <t>NAME MR/MRS</t>
  </si>
  <si>
    <t>COMPANY NAME</t>
  </si>
  <si>
    <t>STREET ADRESS</t>
  </si>
  <si>
    <t>CITY</t>
  </si>
  <si>
    <t>PHONE</t>
  </si>
  <si>
    <t>DESCRIPTION</t>
  </si>
  <si>
    <t>QTY</t>
  </si>
  <si>
    <t>PRICE</t>
  </si>
  <si>
    <t>AMOUNT</t>
  </si>
  <si>
    <t>SUBTOTAL</t>
  </si>
  <si>
    <t>DISCOUNT</t>
  </si>
  <si>
    <t>AFTER DISCOUNT</t>
  </si>
  <si>
    <t>PPN 11%</t>
  </si>
  <si>
    <t>PPh 2%</t>
  </si>
  <si>
    <t>OTHER</t>
  </si>
  <si>
    <t>TOTAL</t>
  </si>
  <si>
    <t>INV/032/BSM/INVXI/2025</t>
  </si>
  <si>
    <t>001</t>
  </si>
  <si>
    <t xml:space="preserve">Ibu April </t>
  </si>
  <si>
    <t xml:space="preserve">PT. Belirang Kalisari </t>
  </si>
  <si>
    <t xml:space="preserve">Jl Karanggayam I 2A Surabaya 60136 Indonesia </t>
  </si>
  <si>
    <t xml:space="preserve">Jawa Timur </t>
  </si>
  <si>
    <t>+62-812-7958-5758</t>
  </si>
  <si>
    <t>Biaya Ocean freight + Dooring PT. Indah Kiat Perawang 14 x 20GP all in</t>
  </si>
  <si>
    <t>INV/033/BSM/INVXI/2025</t>
  </si>
  <si>
    <t>002</t>
  </si>
  <si>
    <t xml:space="preserve">Pak Yoseph Krisna </t>
  </si>
  <si>
    <t>PT. Tangguh Birawa Persada</t>
  </si>
  <si>
    <t>Jl Pulo Mas VIII No 11 Kayu Putih , Pulo Gadung</t>
  </si>
  <si>
    <t xml:space="preserve">Jakarta Timur </t>
  </si>
  <si>
    <t>+62-812-8039-8690</t>
  </si>
  <si>
    <t>Biaya Ocean freight + Dooring Bangkinang 8 x 20GP all in</t>
  </si>
  <si>
    <t>INV/034/BSM/INVXII/2025</t>
  </si>
  <si>
    <t>003</t>
  </si>
  <si>
    <t>Biaya Ocean freight + Dooring Bangka 26 x 20GP all in</t>
  </si>
  <si>
    <t>INV/035/BSM/INVXI/2025</t>
  </si>
  <si>
    <t>004</t>
  </si>
  <si>
    <t>Biaya Ocean freight + Dooring PT. Indah Kiat Perawang 7 x 20GP all in</t>
  </si>
  <si>
    <t>INV/036/BSM/INVXII/2025</t>
  </si>
  <si>
    <t>005</t>
  </si>
  <si>
    <t>Jakarta Timur</t>
  </si>
  <si>
    <t>Biaya Storage dan Demurage dari Tgl 18 Nov 2025 sd 10 Dec 2025</t>
  </si>
  <si>
    <t>INV/037/BSM/INVXII/2025</t>
  </si>
  <si>
    <t>006</t>
  </si>
  <si>
    <t>Biaya Storage dan Demurage dari Tgl 18 Nov 2025 sd 22 Dec 2025</t>
  </si>
  <si>
    <t>INV/038/BSM/INVXII/2025</t>
  </si>
  <si>
    <t>007</t>
  </si>
  <si>
    <t xml:space="preserve">PT. Tangguh Birawa Persada / QQ PT. Putra Putri Karya </t>
  </si>
  <si>
    <t>Biaya Ocean freight + Dooring Bangka 7 x 20GP all in</t>
  </si>
  <si>
    <t>INV/039/BSM/INVXII/2025</t>
  </si>
  <si>
    <t>008</t>
  </si>
  <si>
    <t>Isi Nama Customer</t>
  </si>
  <si>
    <t>Isi Nama Perusahaan</t>
  </si>
  <si>
    <t>Isi Alamat</t>
  </si>
  <si>
    <t>Isi Kota</t>
  </si>
  <si>
    <t>Isi Nomor Telepon</t>
  </si>
  <si>
    <t>Isi Deskripsi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</si>
  <si>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</si>
  <si>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</si>
  <si>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</si>
  <si>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</si>
  <si>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</si>
  <si>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</si>
  <si>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</si>
  <si>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</si>
  <si>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</si>
  <si>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</si>
  <si>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</si>
  <si>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</si>
  <si>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</si>
  <si>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</si>
  <si>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</si>
  <si>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INV/055/BSM/INVXII/2025</t>
  </si>
  <si>
    <t>024</t>
  </si>
  <si>
    <t>INV/056/BSM/INVXII/2025</t>
  </si>
  <si>
    <t>025</t>
  </si>
  <si>
    <t>INV/057/BSM/INVXII/2025</t>
  </si>
  <si>
    <t>026</t>
  </si>
  <si>
    <t>INV/058/BSM/INVXII/2025</t>
  </si>
  <si>
    <t>027</t>
  </si>
  <si>
    <t>INV/059/BSM/INVXII/2025</t>
  </si>
  <si>
    <t>028</t>
  </si>
  <si>
    <t>INV/060/BSM/INVXII/2025</t>
  </si>
  <si>
    <t>029</t>
  </si>
  <si>
    <t>INV/061/BSM/INVXII/2025</t>
  </si>
  <si>
    <t>030</t>
  </si>
  <si>
    <t>INV/062/BSM/INVXII/2025</t>
  </si>
  <si>
    <t>031</t>
  </si>
  <si>
    <t>INV/063/BSM/INVXII/2025</t>
  </si>
  <si>
    <t>032</t>
  </si>
  <si>
    <t>INV/064/BSM/INVXII/2025</t>
  </si>
  <si>
    <t>033</t>
  </si>
  <si>
    <t>INV/065/BSM/INVXII/2025</t>
  </si>
  <si>
    <t>034</t>
  </si>
  <si>
    <t>INV/066/BSM/INVXII/2025</t>
  </si>
  <si>
    <t>035</t>
  </si>
  <si>
    <t>INV/067/BSM/INVXII/2025</t>
  </si>
  <si>
    <t>036</t>
  </si>
  <si>
    <t>INV/068/BSM/INVXII/2025</t>
  </si>
  <si>
    <t>037</t>
  </si>
  <si>
    <t>INV/069/BSM/INVXII/2025</t>
  </si>
  <si>
    <t>038</t>
  </si>
  <si>
    <t>INV/070/BSM/INVXII/2025</t>
  </si>
  <si>
    <t>039</t>
  </si>
  <si>
    <t>INV/071/BSM/INVXII/2025</t>
  </si>
  <si>
    <t>040</t>
  </si>
  <si>
    <t>INV/072/BSM/INVXII/2025</t>
  </si>
  <si>
    <t>041</t>
  </si>
  <si>
    <t>INV/073/BSM/INVXII/2025</t>
  </si>
  <si>
    <t>042</t>
  </si>
  <si>
    <t>INV/074/BSM/INVXII/2025</t>
  </si>
  <si>
    <t>043</t>
  </si>
  <si>
    <t>INV/075/BSM/INVXII/2025</t>
  </si>
  <si>
    <t>044</t>
  </si>
  <si>
    <t>INV/076/BSM/INVXII/2025</t>
  </si>
  <si>
    <t>045</t>
  </si>
  <si>
    <t>INV/077/BSM/INVXII/2025</t>
  </si>
  <si>
    <t>046</t>
  </si>
  <si>
    <t>INV/078/BSM/INVXII/2025</t>
  </si>
  <si>
    <t>047</t>
  </si>
  <si>
    <t>INV/079/BSM/INVXII/2025</t>
  </si>
  <si>
    <t>048</t>
  </si>
  <si>
    <t>INV/080/BSM/INVXII/2025</t>
  </si>
  <si>
    <t>049</t>
  </si>
  <si>
    <t>INV/081/BSM/INVXII/2025</t>
  </si>
  <si>
    <t>050</t>
  </si>
  <si>
    <t>PT. BHUMI SELARAS MITRA</t>
  </si>
  <si>
    <t>Menteng Square Office Tower A Lt 2 Unit AK 8, Kel. Kenari, Kec. Senen</t>
  </si>
  <si>
    <t>Kota Adm. Jakarta Pusat, Provinsi DKI Jakarta 10430</t>
  </si>
  <si>
    <t>INVOICE NO</t>
  </si>
  <si>
    <t>Phone: +62-811-8627-047  l Email : pt.bhumiselarasmitra@gmail.com</t>
  </si>
  <si>
    <t>BILL TO</t>
  </si>
  <si>
    <t>Name Mr/Mrs.</t>
  </si>
  <si>
    <t>:</t>
  </si>
  <si>
    <t>Company Name</t>
  </si>
  <si>
    <t>Street Address</t>
  </si>
  <si>
    <t>City</t>
  </si>
  <si>
    <t>Phone</t>
  </si>
  <si>
    <t>[42]</t>
  </si>
  <si>
    <t>Subtotal</t>
  </si>
  <si>
    <t>Discount</t>
  </si>
  <si>
    <t>ATTENTION</t>
  </si>
  <si>
    <t>After Discount</t>
  </si>
  <si>
    <t>1. Items that have been purchased cannot be returned.</t>
  </si>
  <si>
    <t>2. Payment Information :</t>
  </si>
  <si>
    <t>Bank Code      : 014</t>
  </si>
  <si>
    <t>Other</t>
  </si>
  <si>
    <t xml:space="preserve">Bank Name     : BCA KCU Kramat Jaya </t>
  </si>
  <si>
    <t xml:space="preserve">Name Account : BHUMI SELARAS MITRA </t>
  </si>
  <si>
    <t>Make all checks payable to</t>
  </si>
  <si>
    <t>Rek Number    : 414-2485-676</t>
  </si>
  <si>
    <t>PT. Bhumi Selaras Mitra</t>
  </si>
  <si>
    <t xml:space="preserve">               </t>
  </si>
  <si>
    <t xml:space="preserve">                                                                                                           ( Ari Wahyudi )  </t>
  </si>
  <si>
    <t>CUSTOMER NAME</t>
  </si>
  <si>
    <t>PT. Belirang Kalisari</t>
  </si>
  <si>
    <t>PT. Inti Jaya Elektronik</t>
  </si>
  <si>
    <t>PT. Toko Baru Avo</t>
  </si>
  <si>
    <t>PT. Ones Law Group</t>
  </si>
  <si>
    <t>Biaya Ocean freight + Dooring PT. Indah Kiat Perawang 16 x 20GP all in</t>
  </si>
  <si>
    <t>INV/040/BSM/INVI/2026</t>
  </si>
  <si>
    <t>Biaya Ocean freight + Dooring Bangka 8 x 20GP all in</t>
  </si>
  <si>
    <t>INV/041/BSM/INVI/2026</t>
  </si>
  <si>
    <t xml:space="preserve">Biaya Storage Demurage 2 x 20GP Perawang - Bangkinang </t>
  </si>
  <si>
    <t>INV/042/BSM/INVII/2026</t>
  </si>
  <si>
    <t>Biaya Ocean freight + Dooring PT. Indah Kiat OKI 2 x 20GP all in</t>
  </si>
  <si>
    <t>INV/044/BSM/INVII/2026</t>
  </si>
  <si>
    <t>INV/043/BSM/INVII/2026</t>
  </si>
  <si>
    <t>Biaya Ocean freight + Dooring PT. Indah Kiat Perawang 15 x 20GP all in</t>
  </si>
  <si>
    <t>INV/045/BSM/INVII/2026</t>
  </si>
  <si>
    <t>Biaya Ocean freight + Dooring PT. Indah Kiat OKI 4 x 20GP all in</t>
  </si>
  <si>
    <t>INV/047/BSM/INVIII/2026</t>
  </si>
  <si>
    <t>Biaya Ocean freight + Dooring PT. Indah Kiat PRW 10 x 20GP all in</t>
  </si>
  <si>
    <t>Biaya Ocean freight Cy - Fio PT. Indah Kiat PRW 6 x 20GP all in</t>
  </si>
  <si>
    <t>INV/049/BSM/INVIV/2026</t>
  </si>
  <si>
    <t>INV/048/BSM/INVIII/2026</t>
  </si>
  <si>
    <t>Biaya Ocean freight Cy - Fio PT. Indah Kiat PRW 9 x 20GP all in</t>
  </si>
  <si>
    <t>INV/050/BSM/INVV/2026</t>
  </si>
  <si>
    <t>Biaya Ocean freight Cy - Fio PT. Indah Kiat OKI 4 x 20GP all in</t>
  </si>
  <si>
    <t>INV/051/BSM/INVV/2026</t>
  </si>
  <si>
    <t>Biaya Ocean freight Cy - Fio PT. Indah Kiat PRW 8 x 20GP all in</t>
  </si>
  <si>
    <t>INV/052/BSM/INVVI/2026</t>
  </si>
  <si>
    <t>Bpk Zuher</t>
  </si>
  <si>
    <t>Biaya Trucking Pekan Baru - Bangkinang 2 x 20GP</t>
  </si>
  <si>
    <t>INV/053/BSM/INVVII/2026</t>
  </si>
  <si>
    <t>Biaya Ocean freight Door - Fio PT. Indah Kiat OKI 4 x 20GP all in</t>
  </si>
  <si>
    <t>INV/054/BSM/INVVII/2025</t>
  </si>
  <si>
    <t>Biaya Ocean freight Door - Fio PT. Indah Kiat PRW 5 x 20GP all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</si>
</sst>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&quot;Rp&quot;* #,##0_-;\-&quot;Rp&quot;* #,##0_-;_-&quot;Rp&quot;* &quot;-&quot;??_-;_-@_-"/>
    <numFmt numFmtId="166" formatCode="dd/mm/yyyy;@"/>
  </numFmts>
  <fonts count="15">
    <font>
      <sz val="10"/>
      <name val="Trebuchet MS"/>
      <charset val="134"/>
    </font>
    <font>
      <b/>
      <sz val="12"/>
      <color theme="1"/>
      <name val="Arial Narrow"/>
      <charset val="134"/>
    </font>
    <font>
      <sz val="12"/>
      <color theme="1"/>
      <name val="Arial Narrow"/>
      <charset val="134"/>
    </font>
    <font>
      <b/>
      <sz val="28"/>
      <color rgb="FF00B0F0"/>
      <name val="Arial"/>
      <charset val="134"/>
      <scheme val="major"/>
    </font>
    <font>
      <b/>
      <sz val="24"/>
      <color theme="4" tint="-0.249977111117893"/>
      <name val="Arial"/>
      <charset val="134"/>
    </font>
    <font>
      <sz val="10"/>
      <name val="Trebuchet MS"/>
      <charset val="134"/>
      <scheme val="minor"/>
    </font>
    <font>
      <sz val="10"/>
      <color rgb="FF101010"/>
      <name val="Trebuchet MS"/>
      <charset val="134"/>
      <scheme val="minor"/>
    </font>
    <font>
      <b/>
      <sz val="11"/>
      <color indexed="9"/>
      <name val="Trebuchet MS"/>
      <charset val="134"/>
      <scheme val="minor"/>
    </font>
    <font>
      <sz val="1"/>
      <color indexed="9"/>
      <name val="Trebuchet MS"/>
      <charset val="134"/>
      <scheme val="minor"/>
    </font>
    <font>
      <sz val="11"/>
      <color indexed="9"/>
      <name val="Trebuchet MS"/>
      <charset val="134"/>
      <scheme val="minor"/>
    </font>
    <font>
      <b/>
      <sz val="10"/>
      <color indexed="9"/>
      <name val="Trebuchet MS"/>
      <charset val="134"/>
      <scheme val="minor"/>
    </font>
    <font>
      <b/>
      <sz val="11"/>
      <color rgb="FF101010"/>
      <name val="Trebuchet MS"/>
      <charset val="134"/>
      <scheme val="minor"/>
    </font>
    <font>
      <b/>
      <sz val="10"/>
      <name val="Trebuchet MS"/>
      <charset val="134"/>
      <scheme val="minor"/>
    </font>
    <font>
      <b/>
      <i/>
      <sz val="12"/>
      <color rgb="FF101010"/>
      <name val="Trebuchet MS"/>
      <charset val="134"/>
      <scheme val="minor"/>
    </font>
    <font>
      <sz val="10"/>
      <name val="Verdana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 tint="0.79985961485641044"/>
        <bgColor indexed="64"/>
      </patternFill>
    </fill>
    <fill>
      <patternFill patternType="solid">
        <fgColor rgb="FF23437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4" fillId="0" borderId="0" applyFont="0" applyFill="0" applyBorder="0" applyAlignment="0" applyProtection="0"/>
  </cellStyleXfs>
  <cellXfs count="6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5" fillId="0" borderId="0" xfId="0" applyFont="1" applyAlignment="1">
      <alignment horizontal="left" indent="1"/>
    </xf>
    <xf numFmtId="0" fontId="5" fillId="0" borderId="0" xfId="0" applyFont="1"/>
    <xf numFmtId="0" fontId="5" fillId="0" borderId="0" xfId="0" applyFont="1" applyProtection="1">
      <protection locked="0"/>
    </xf>
    <xf numFmtId="0" fontId="6" fillId="0" borderId="0" xfId="0" applyFont="1" applyAlignment="1">
      <alignment horizontal="right" indent="1"/>
    </xf>
    <xf numFmtId="14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left" indent="1"/>
      <protection locked="0"/>
    </xf>
    <xf numFmtId="14" fontId="5" fillId="2" borderId="2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 applyProtection="1">
      <alignment horizontal="left" indent="1"/>
      <protection locked="0"/>
    </xf>
    <xf numFmtId="0" fontId="6" fillId="0" borderId="0" xfId="0" applyFont="1" applyAlignment="1">
      <alignment horizontal="left" indent="1"/>
    </xf>
    <xf numFmtId="0" fontId="6" fillId="0" borderId="0" xfId="0" applyFont="1"/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6" fillId="0" borderId="7" xfId="0" applyFont="1" applyBorder="1" applyAlignment="1" applyProtection="1">
      <alignment horizontal="center"/>
      <protection locked="0"/>
    </xf>
    <xf numFmtId="165" fontId="6" fillId="0" borderId="7" xfId="0" applyNumberFormat="1" applyFont="1" applyBorder="1" applyAlignment="1" applyProtection="1">
      <alignment horizontal="center"/>
      <protection locked="0"/>
    </xf>
    <xf numFmtId="165" fontId="6" fillId="0" borderId="7" xfId="1" applyNumberFormat="1" applyFont="1" applyBorder="1" applyProtection="1">
      <protection locked="0"/>
    </xf>
    <xf numFmtId="0" fontId="6" fillId="0" borderId="8" xfId="0" applyFont="1" applyBorder="1" applyAlignment="1" applyProtection="1">
      <alignment horizontal="left" indent="1"/>
      <protection locked="0"/>
    </xf>
    <xf numFmtId="0" fontId="5" fillId="0" borderId="9" xfId="0" applyFont="1" applyBorder="1" applyAlignment="1">
      <alignment horizontal="left" indent="1"/>
    </xf>
    <xf numFmtId="0" fontId="8" fillId="0" borderId="9" xfId="0" applyFont="1" applyBorder="1" applyAlignment="1">
      <alignment horizontal="left" indent="1"/>
    </xf>
    <xf numFmtId="0" fontId="5" fillId="0" borderId="9" xfId="0" applyFont="1" applyBorder="1" applyAlignment="1">
      <alignment horizontal="left"/>
    </xf>
    <xf numFmtId="165" fontId="5" fillId="0" borderId="2" xfId="0" applyNumberFormat="1" applyFont="1" applyBorder="1" applyProtection="1">
      <protection locked="0"/>
    </xf>
    <xf numFmtId="0" fontId="9" fillId="0" borderId="0" xfId="0" applyFont="1" applyAlignment="1">
      <alignment horizontal="left" indent="1"/>
    </xf>
    <xf numFmtId="0" fontId="5" fillId="0" borderId="15" xfId="0" applyFont="1" applyBorder="1" applyAlignment="1">
      <alignment horizontal="left"/>
    </xf>
    <xf numFmtId="165" fontId="5" fillId="0" borderId="16" xfId="0" applyNumberFormat="1" applyFont="1" applyBorder="1" applyProtection="1">
      <protection locked="0"/>
    </xf>
    <xf numFmtId="0" fontId="11" fillId="0" borderId="0" xfId="0" applyFont="1" applyAlignment="1">
      <alignment horizontal="left"/>
    </xf>
    <xf numFmtId="165" fontId="12" fillId="2" borderId="0" xfId="0" applyNumberFormat="1" applyFont="1" applyFill="1"/>
    <xf numFmtId="0" fontId="5" fillId="0" borderId="0" xfId="0" applyFont="1" applyAlignment="1" applyProtection="1">
      <alignment horizontal="center"/>
      <protection locked="0"/>
    </xf>
    <xf numFmtId="0" fontId="2" fillId="0" borderId="0" xfId="0" applyFont="1" applyAlignment="1">
      <alignment horizontal="center"/>
    </xf>
    <xf numFmtId="0" fontId="2" fillId="0" borderId="0" xfId="0" applyFont="1"/>
    <xf numFmtId="166" fontId="2" fillId="0" borderId="0" xfId="0" applyNumberFormat="1" applyFont="1"/>
    <xf numFmtId="165" fontId="2" fillId="0" borderId="0" xfId="0" applyNumberFormat="1" applyFont="1"/>
    <xf numFmtId="0" fontId="1" fillId="0" borderId="17" xfId="0" applyFont="1" applyBorder="1" applyAlignment="1">
      <alignment horizontal="center"/>
    </xf>
    <xf numFmtId="166" fontId="1" fillId="0" borderId="17" xfId="0" applyNumberFormat="1" applyFont="1" applyBorder="1" applyAlignment="1">
      <alignment horizontal="center"/>
    </xf>
    <xf numFmtId="0" fontId="1" fillId="0" borderId="17" xfId="0" applyFont="1" applyBorder="1" applyAlignment="1" applyProtection="1">
      <alignment horizontal="center"/>
      <protection locked="0"/>
    </xf>
    <xf numFmtId="165" fontId="1" fillId="0" borderId="17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49" fontId="2" fillId="0" borderId="0" xfId="0" quotePrefix="1" applyNumberFormat="1" applyFont="1"/>
    <xf numFmtId="0" fontId="2" fillId="0" borderId="0" xfId="0" quotePrefix="1" applyFont="1"/>
    <xf numFmtId="0" fontId="5" fillId="0" borderId="2" xfId="0" quotePrefix="1" applyFont="1" applyBorder="1" applyAlignment="1">
      <alignment horizontal="center"/>
    </xf>
    <xf numFmtId="0" fontId="2" fillId="0" borderId="1" xfId="0" quotePrefix="1" applyFont="1" applyBorder="1"/>
    <xf numFmtId="0" fontId="3" fillId="0" borderId="0" xfId="0" applyFont="1" applyAlignment="1">
      <alignment horizontal="left"/>
    </xf>
    <xf numFmtId="0" fontId="4" fillId="0" borderId="0" xfId="0" applyFont="1" applyAlignment="1" applyProtection="1">
      <alignment horizontal="left" vertical="center"/>
      <protection locked="0"/>
    </xf>
    <xf numFmtId="0" fontId="7" fillId="3" borderId="0" xfId="0" applyFont="1" applyFill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quotePrefix="1" applyFont="1" applyAlignment="1">
      <alignment horizontal="left"/>
    </xf>
    <xf numFmtId="0" fontId="7" fillId="3" borderId="3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6" fillId="0" borderId="6" xfId="0" applyFont="1" applyBorder="1" applyAlignment="1" applyProtection="1">
      <alignment horizontal="left" indent="1"/>
      <protection locked="0"/>
    </xf>
    <xf numFmtId="0" fontId="6" fillId="0" borderId="0" xfId="0" applyFont="1" applyAlignment="1" applyProtection="1">
      <alignment horizontal="left" indent="1"/>
      <protection locked="0"/>
    </xf>
    <xf numFmtId="0" fontId="10" fillId="3" borderId="3" xfId="0" applyFont="1" applyFill="1" applyBorder="1" applyAlignment="1">
      <alignment horizontal="left" indent="1"/>
    </xf>
    <xf numFmtId="0" fontId="10" fillId="3" borderId="4" xfId="0" applyFont="1" applyFill="1" applyBorder="1" applyAlignment="1">
      <alignment horizontal="left" indent="1"/>
    </xf>
    <xf numFmtId="0" fontId="10" fillId="3" borderId="5" xfId="0" applyFont="1" applyFill="1" applyBorder="1" applyAlignment="1">
      <alignment horizontal="left" indent="1"/>
    </xf>
    <xf numFmtId="0" fontId="6" fillId="0" borderId="10" xfId="0" applyFont="1" applyBorder="1" applyAlignment="1" applyProtection="1">
      <alignment horizontal="left" vertical="top" indent="1"/>
      <protection locked="0"/>
    </xf>
    <xf numFmtId="0" fontId="6" fillId="0" borderId="11" xfId="0" applyFont="1" applyBorder="1" applyAlignment="1" applyProtection="1">
      <alignment horizontal="left" vertical="top" indent="1"/>
      <protection locked="0"/>
    </xf>
    <xf numFmtId="0" fontId="6" fillId="0" borderId="12" xfId="0" applyFont="1" applyBorder="1" applyAlignment="1" applyProtection="1">
      <alignment horizontal="left" vertical="top" indent="1"/>
      <protection locked="0"/>
    </xf>
    <xf numFmtId="0" fontId="6" fillId="0" borderId="13" xfId="0" applyFont="1" applyBorder="1" applyAlignment="1" applyProtection="1">
      <alignment horizontal="left" vertical="top" indent="1"/>
      <protection locked="0"/>
    </xf>
    <xf numFmtId="0" fontId="6" fillId="0" borderId="0" xfId="0" applyFont="1" applyAlignment="1" applyProtection="1">
      <alignment horizontal="left" vertical="top" indent="1"/>
      <protection locked="0"/>
    </xf>
    <xf numFmtId="0" fontId="6" fillId="0" borderId="14" xfId="0" applyFont="1" applyBorder="1" applyAlignment="1" applyProtection="1">
      <alignment horizontal="left" vertical="top" indent="1"/>
      <protection locked="0"/>
    </xf>
    <xf numFmtId="0" fontId="13" fillId="0" borderId="0" xfId="0" applyFont="1" applyAlignment="1">
      <alignment horizontal="center"/>
    </xf>
    <xf numFmtId="0" fontId="5" fillId="0" borderId="0" xfId="0" applyFont="1" applyAlignment="1">
      <alignment horizontal="center" vertical="top"/>
    </xf>
    <xf numFmtId="0" fontId="12" fillId="0" borderId="0" xfId="0" applyFont="1" applyAlignment="1" applyProtection="1">
      <alignment horizontal="center" vertical="top"/>
      <protection locked="0"/>
    </xf>
    <xf numFmtId="0" fontId="5" fillId="0" borderId="0" xfId="0" applyFont="1" applyAlignment="1">
      <alignment horizontal="center"/>
    </xf>
    <xf numFmtId="0" fontId="5" fillId="0" borderId="0" xfId="0" applyFont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1">
    <dxf>
      <fill>
        <patternFill patternType="solid">
          <bgColor theme="0" tint="-4.9989318521683403E-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101010"/>
      <color rgb="FF3969AD"/>
      <color rgb="FFDEE8F5"/>
      <color rgb="FF3464AB"/>
      <color rgb="FF2343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15240</xdr:colOff>
      <xdr:row>0</xdr:row>
      <xdr:rowOff>10795</xdr:rowOff>
    </xdr:from>
    <xdr:to>
      <xdr:col>6</xdr:col>
      <xdr:colOff>806450</xdr:colOff>
      <xdr:row>2</xdr:row>
      <xdr:rowOff>144145</xdr:rowOff>
    </xdr:to>
    <xdr:pic>
      <xdr:nvPicPr>
        <xdr:cNvPr id="2" name="Picture 1" descr="0. LOGO - PT BHUMI SELARAS MITRA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06315" y="10795"/>
          <a:ext cx="2372360" cy="962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Vertex42">
  <a:themeElements>
    <a:clrScheme name="V42-ClassicBlue">
      <a:dk1>
        <a:sysClr val="windowText" lastClr="000000"/>
      </a:dk1>
      <a:lt1>
        <a:sysClr val="window" lastClr="FFFFFF"/>
      </a:lt1>
      <a:dk2>
        <a:srgbClr val="3A5D9C"/>
      </a:dk2>
      <a:lt2>
        <a:srgbClr val="EEECE2"/>
      </a:lt2>
      <a:accent1>
        <a:srgbClr val="3B4E87"/>
      </a:accent1>
      <a:accent2>
        <a:srgbClr val="C04E4E"/>
      </a:accent2>
      <a:accent3>
        <a:srgbClr val="3D8A1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Vertex42">
      <a:majorFont>
        <a:latin typeface="Arial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2"/>
  <sheetViews>
    <sheetView showGridLines="0" topLeftCell="K10" workbookViewId="0">
      <selection activeCell="V24" sqref="V24"/>
    </sheetView>
  </sheetViews>
  <sheetFormatPr defaultColWidth="9.140625" defaultRowHeight="15.75"/>
  <cols>
    <col min="1" max="1" width="4.5703125" style="34" customWidth="1"/>
    <col min="2" max="2" width="10.85546875" style="35" customWidth="1"/>
    <col min="3" max="3" width="24.85546875" style="34" customWidth="1"/>
    <col min="4" max="4" width="19.7109375" style="34" customWidth="1"/>
    <col min="5" max="5" width="22.7109375" style="34" customWidth="1"/>
    <col min="6" max="6" width="16.85546875" style="34" customWidth="1"/>
    <col min="7" max="7" width="36.5703125" style="34" customWidth="1"/>
    <col min="8" max="8" width="31.85546875" style="34" customWidth="1"/>
    <col min="9" max="9" width="21.5703125" style="34" customWidth="1"/>
    <col min="10" max="10" width="23.7109375" style="34" customWidth="1"/>
    <col min="11" max="11" width="14.85546875" style="34" customWidth="1"/>
    <col min="12" max="12" width="9.42578125" style="34" customWidth="1"/>
    <col min="13" max="13" width="25.140625" style="36" customWidth="1"/>
    <col min="14" max="14" width="28.28515625" style="36" customWidth="1"/>
    <col min="15" max="15" width="29.42578125" style="36" customWidth="1"/>
    <col min="16" max="16" width="19.140625" style="36" customWidth="1"/>
    <col min="17" max="17" width="16" style="36" customWidth="1"/>
    <col min="18" max="18" width="20.28515625" style="36" customWidth="1"/>
    <col min="19" max="19" width="13.7109375" style="34" customWidth="1"/>
    <col min="20" max="20" width="6.42578125" style="34" customWidth="1"/>
    <col min="21" max="21" width="24" style="34" customWidth="1"/>
    <col min="22" max="16384" width="9.140625" style="34"/>
  </cols>
  <sheetData>
    <row r="2" spans="1:21" s="33" customFormat="1">
      <c r="A2" s="37" t="s">
        <v>0</v>
      </c>
      <c r="B2" s="38" t="s">
        <v>1</v>
      </c>
      <c r="C2" s="37" t="s">
        <v>2</v>
      </c>
      <c r="D2" s="37" t="s">
        <v>3</v>
      </c>
      <c r="E2" s="37" t="s">
        <v>4</v>
      </c>
      <c r="F2" s="39" t="s">
        <v>5</v>
      </c>
      <c r="G2" s="39" t="s">
        <v>6</v>
      </c>
      <c r="H2" s="39" t="s">
        <v>7</v>
      </c>
      <c r="I2" s="39" t="s">
        <v>8</v>
      </c>
      <c r="J2" s="39" t="s">
        <v>9</v>
      </c>
      <c r="K2" s="37" t="s">
        <v>10</v>
      </c>
      <c r="L2" s="37" t="s">
        <v>11</v>
      </c>
      <c r="M2" s="40" t="s">
        <v>12</v>
      </c>
      <c r="N2" s="40" t="s">
        <v>13</v>
      </c>
      <c r="O2" s="40" t="s">
        <v>14</v>
      </c>
      <c r="P2" s="40" t="s">
        <v>15</v>
      </c>
      <c r="Q2" s="40" t="s">
        <v>16</v>
      </c>
      <c r="R2" s="40" t="s">
        <v>17</v>
      </c>
      <c r="S2" s="37" t="s">
        <v>18</v>
      </c>
      <c r="T2" s="37" t="s">
        <v>19</v>
      </c>
      <c r="U2" s="37" t="s">
        <v>20</v>
      </c>
    </row>
    <row r="3" spans="1:21">
      <c r="A3" s="34">
        <v>1</v>
      </c>
      <c r="C3" s="34" t="s">
        <v>21</v>
      </c>
      <c r="D3" s="42" t="s">
        <v>22</v>
      </c>
      <c r="E3" s="35">
        <v>45968</v>
      </c>
      <c r="F3" s="34" t="s">
        <v>23</v>
      </c>
      <c r="G3" s="34" t="s">
        <v>24</v>
      </c>
      <c r="H3" s="34" t="s">
        <v>25</v>
      </c>
      <c r="I3" s="34" t="s">
        <v>26</v>
      </c>
      <c r="J3" s="43" t="s">
        <v>27</v>
      </c>
      <c r="K3" s="34" t="s">
        <v>28</v>
      </c>
      <c r="L3" s="34">
        <v>14</v>
      </c>
      <c r="M3" s="36">
        <v>14650000</v>
      </c>
      <c r="N3" s="36">
        <f t="shared" ref="N3:N7" si="0">L3*M3</f>
        <v>205100000</v>
      </c>
      <c r="O3" s="36">
        <f t="shared" ref="O3:O9" si="1">N3</f>
        <v>205100000</v>
      </c>
      <c r="R3" s="36">
        <f t="shared" ref="R3:R9" si="2">Q3*11/100</f>
        <v>0</v>
      </c>
      <c r="S3" s="36">
        <f t="shared" ref="S3:S9" si="3">Q3*2/100</f>
        <v>0</v>
      </c>
      <c r="T3" s="34">
        <v>0</v>
      </c>
      <c r="U3" s="36">
        <f t="shared" ref="U3:U9" si="4">Q3+R3-S3</f>
        <v>0</v>
      </c>
    </row>
    <row r="4" spans="1:21">
      <c r="A4" s="34">
        <f t="shared" ref="A4:A9" si="5">+A3+1</f>
        <v>2</v>
      </c>
      <c r="C4" s="34" t="s">
        <v>29</v>
      </c>
      <c r="D4" s="42" t="s">
        <v>30</v>
      </c>
      <c r="E4" s="35">
        <v>45968</v>
      </c>
      <c r="F4" s="34" t="s">
        <v>31</v>
      </c>
      <c r="G4" s="34" t="s">
        <v>32</v>
      </c>
      <c r="H4" s="34" t="s">
        <v>33</v>
      </c>
      <c r="I4" s="34" t="s">
        <v>34</v>
      </c>
      <c r="J4" s="43" t="s">
        <v>35</v>
      </c>
      <c r="K4" s="34" t="s">
        <v>36</v>
      </c>
      <c r="L4" s="34">
        <v>8</v>
      </c>
      <c r="M4" s="36">
        <v>17500000</v>
      </c>
      <c r="N4" s="36">
        <f t="shared" si="0"/>
        <v>140000000</v>
      </c>
      <c r="O4" s="36">
        <f t="shared" si="1"/>
        <v>140000000</v>
      </c>
      <c r="P4" s="36">
        <v>0</v>
      </c>
      <c r="Q4" s="36">
        <v>0</v>
      </c>
      <c r="R4" s="36">
        <f t="shared" si="2"/>
        <v>0</v>
      </c>
      <c r="S4" s="36">
        <f t="shared" si="3"/>
        <v>0</v>
      </c>
      <c r="T4" s="34">
        <v>0</v>
      </c>
      <c r="U4" s="36">
        <f t="shared" si="4"/>
        <v>0</v>
      </c>
    </row>
    <row r="5" spans="1:21">
      <c r="A5" s="34">
        <f t="shared" si="5"/>
        <v>3</v>
      </c>
      <c r="C5" s="34" t="s">
        <v>37</v>
      </c>
      <c r="D5" s="42" t="s">
        <v>38</v>
      </c>
      <c r="E5" s="35">
        <v>45968</v>
      </c>
      <c r="F5" s="34" t="s">
        <v>31</v>
      </c>
      <c r="G5" s="34" t="s">
        <v>32</v>
      </c>
      <c r="H5" s="34" t="s">
        <v>33</v>
      </c>
      <c r="I5" s="34" t="s">
        <v>34</v>
      </c>
      <c r="J5" s="43" t="s">
        <v>35</v>
      </c>
      <c r="K5" s="34" t="s">
        <v>39</v>
      </c>
      <c r="L5" s="34">
        <v>26</v>
      </c>
      <c r="M5" s="36">
        <v>13500000</v>
      </c>
      <c r="N5" s="36">
        <f t="shared" si="0"/>
        <v>351000000</v>
      </c>
      <c r="O5" s="36">
        <f t="shared" si="1"/>
        <v>351000000</v>
      </c>
      <c r="P5" s="36">
        <v>0</v>
      </c>
      <c r="Q5" s="36">
        <v>0</v>
      </c>
      <c r="R5" s="36">
        <f t="shared" si="2"/>
        <v>0</v>
      </c>
      <c r="S5" s="36">
        <f t="shared" si="3"/>
        <v>0</v>
      </c>
      <c r="T5" s="34">
        <v>0</v>
      </c>
      <c r="U5" s="36">
        <f t="shared" si="4"/>
        <v>0</v>
      </c>
    </row>
    <row r="6" spans="1:21">
      <c r="A6" s="34">
        <f t="shared" si="5"/>
        <v>4</v>
      </c>
      <c r="C6" s="34" t="s">
        <v>40</v>
      </c>
      <c r="D6" s="42" t="s">
        <v>41</v>
      </c>
      <c r="E6" s="35">
        <v>45972</v>
      </c>
      <c r="F6" s="34" t="s">
        <v>23</v>
      </c>
      <c r="G6" s="34" t="s">
        <v>24</v>
      </c>
      <c r="H6" s="34" t="s">
        <v>25</v>
      </c>
      <c r="I6" s="34" t="s">
        <v>26</v>
      </c>
      <c r="J6" s="43" t="s">
        <v>27</v>
      </c>
      <c r="K6" s="34" t="s">
        <v>42</v>
      </c>
      <c r="L6" s="34">
        <v>7</v>
      </c>
      <c r="M6" s="36">
        <v>14650000</v>
      </c>
      <c r="N6" s="36">
        <f t="shared" si="0"/>
        <v>102550000</v>
      </c>
      <c r="O6" s="36">
        <f t="shared" si="1"/>
        <v>102550000</v>
      </c>
      <c r="P6" s="36">
        <v>0</v>
      </c>
      <c r="Q6" s="36">
        <v>0</v>
      </c>
      <c r="R6" s="36">
        <f t="shared" si="2"/>
        <v>0</v>
      </c>
      <c r="S6" s="36">
        <f t="shared" si="3"/>
        <v>0</v>
      </c>
      <c r="T6" s="34">
        <v>0</v>
      </c>
      <c r="U6" s="36">
        <f t="shared" si="4"/>
        <v>0</v>
      </c>
    </row>
    <row r="7" spans="1:21">
      <c r="A7" s="34">
        <f t="shared" si="5"/>
        <v>5</v>
      </c>
      <c r="C7" s="34" t="s">
        <v>43</v>
      </c>
      <c r="D7" s="42" t="s">
        <v>44</v>
      </c>
      <c r="E7" s="35">
        <v>45970</v>
      </c>
      <c r="F7" s="34" t="s">
        <v>31</v>
      </c>
      <c r="G7" s="34" t="s">
        <v>32</v>
      </c>
      <c r="H7" s="34" t="s">
        <v>33</v>
      </c>
      <c r="I7" s="34" t="s">
        <v>45</v>
      </c>
      <c r="J7" s="43" t="s">
        <v>35</v>
      </c>
      <c r="K7" s="34" t="s">
        <v>46</v>
      </c>
      <c r="L7" s="34">
        <v>2</v>
      </c>
      <c r="M7" s="36">
        <v>14800000</v>
      </c>
      <c r="N7" s="36">
        <f t="shared" si="0"/>
        <v>29600000</v>
      </c>
      <c r="O7" s="36">
        <f t="shared" si="1"/>
        <v>29600000</v>
      </c>
      <c r="P7" s="36">
        <v>0</v>
      </c>
      <c r="Q7" s="36">
        <v>0</v>
      </c>
      <c r="R7" s="36">
        <f t="shared" si="2"/>
        <v>0</v>
      </c>
      <c r="S7" s="36">
        <f t="shared" si="3"/>
        <v>0</v>
      </c>
      <c r="T7" s="34">
        <v>0</v>
      </c>
      <c r="U7" s="36">
        <f t="shared" si="4"/>
        <v>0</v>
      </c>
    </row>
    <row r="8" spans="1:21">
      <c r="A8" s="34">
        <f t="shared" si="5"/>
        <v>6</v>
      </c>
      <c r="C8" s="34" t="s">
        <v>47</v>
      </c>
      <c r="D8" s="42" t="s">
        <v>48</v>
      </c>
      <c r="E8" s="35">
        <v>45970</v>
      </c>
      <c r="F8" s="34" t="s">
        <v>31</v>
      </c>
      <c r="G8" s="34" t="s">
        <v>32</v>
      </c>
      <c r="H8" s="34" t="s">
        <v>33</v>
      </c>
      <c r="I8" s="34" t="s">
        <v>45</v>
      </c>
      <c r="J8" s="43" t="s">
        <v>35</v>
      </c>
      <c r="K8" s="34" t="s">
        <v>49</v>
      </c>
      <c r="L8" s="34">
        <v>4</v>
      </c>
      <c r="M8" s="36">
        <v>10895880</v>
      </c>
      <c r="N8" s="36">
        <v>10895880</v>
      </c>
      <c r="O8" s="36">
        <f t="shared" si="1"/>
        <v>10895880</v>
      </c>
      <c r="P8" s="36">
        <v>0</v>
      </c>
      <c r="Q8" s="36">
        <v>0</v>
      </c>
      <c r="R8" s="36">
        <f t="shared" si="2"/>
        <v>0</v>
      </c>
      <c r="S8" s="36">
        <f t="shared" si="3"/>
        <v>0</v>
      </c>
      <c r="T8" s="34">
        <v>0</v>
      </c>
      <c r="U8" s="36">
        <f t="shared" si="4"/>
        <v>0</v>
      </c>
    </row>
    <row r="9" spans="1:21">
      <c r="A9" s="34">
        <f t="shared" si="5"/>
        <v>7</v>
      </c>
      <c r="C9" s="34" t="s">
        <v>50</v>
      </c>
      <c r="D9" s="42" t="s">
        <v>51</v>
      </c>
      <c r="E9" s="35">
        <v>45983</v>
      </c>
      <c r="F9" s="34" t="s">
        <v>31</v>
      </c>
      <c r="G9" s="34" t="s">
        <v>52</v>
      </c>
      <c r="H9" s="34" t="s">
        <v>33</v>
      </c>
      <c r="I9" s="34" t="s">
        <v>34</v>
      </c>
      <c r="J9" s="43" t="s">
        <v>35</v>
      </c>
      <c r="K9" s="34" t="s">
        <v>53</v>
      </c>
      <c r="L9" s="34">
        <v>7</v>
      </c>
      <c r="M9" s="36">
        <v>13500000</v>
      </c>
      <c r="N9" s="36">
        <f t="shared" ref="N9" si="6">L9*M9</f>
        <v>94500000</v>
      </c>
      <c r="O9" s="36">
        <f t="shared" si="1"/>
        <v>94500000</v>
      </c>
      <c r="P9" s="36">
        <v>0</v>
      </c>
      <c r="Q9" s="36">
        <v>0</v>
      </c>
      <c r="R9" s="36">
        <f t="shared" si="2"/>
        <v>0</v>
      </c>
      <c r="S9" s="36">
        <f t="shared" si="3"/>
        <v>0</v>
      </c>
      <c r="T9" s="34">
        <v>0</v>
      </c>
      <c r="U9" s="36">
        <f t="shared" si="4"/>
        <v>0</v>
      </c>
    </row>
    <row r="10" spans="1:21">
      <c r="A10" s="34">
        <v>8</v>
      </c>
      <c r="C10" s="34" t="s">
        <v>54</v>
      </c>
      <c r="D10" s="42" t="s">
        <v>55</v>
      </c>
      <c r="E10" s="35">
        <v>46020</v>
      </c>
      <c r="F10" s="34" t="s">
        <v>23</v>
      </c>
      <c r="G10" s="34" t="s">
        <v>24</v>
      </c>
      <c r="H10" s="34" t="s">
        <v>25</v>
      </c>
      <c r="I10" s="34" t="s">
        <v>26</v>
      </c>
      <c r="J10" s="43" t="s">
        <v>27</v>
      </c>
      <c r="K10" s="34" t="s">
        <v>164</v>
      </c>
      <c r="L10" s="34">
        <v>16</v>
      </c>
      <c r="M10" s="36">
        <v>14650000</v>
      </c>
      <c r="N10" s="36">
        <f t="shared" ref="N10:N52" si="7">L10*M10</f>
        <v>234400000</v>
      </c>
      <c r="O10" s="36">
        <f t="shared" ref="O10:O52" si="8">N10</f>
        <v>234400000</v>
      </c>
      <c r="P10" s="36">
        <v>0</v>
      </c>
      <c r="Q10" s="36">
        <v>0</v>
      </c>
      <c r="R10" s="36">
        <f t="shared" ref="R10:R52" si="9">Q10*11/100</f>
        <v>0</v>
      </c>
      <c r="S10" s="36">
        <f t="shared" ref="S10:S52" si="10">Q10*2/100</f>
        <v>0</v>
      </c>
      <c r="T10" s="34">
        <v>0</v>
      </c>
      <c r="U10" s="36">
        <f t="shared" ref="U10:U52" si="11">Q10+R10-S10</f>
        <v>0</v>
      </c>
    </row>
    <row r="11" spans="1:21">
      <c r="A11" s="34">
        <v>9</v>
      </c>
      <c r="C11" s="34" t="s">
        <v>165</v>
      </c>
      <c r="D11" s="42" t="s">
        <v>62</v>
      </c>
      <c r="E11" s="35">
        <v>46028</v>
      </c>
      <c r="F11" s="34" t="s">
        <v>31</v>
      </c>
      <c r="G11" s="34" t="s">
        <v>32</v>
      </c>
      <c r="H11" s="34" t="s">
        <v>33</v>
      </c>
      <c r="I11" s="34" t="s">
        <v>45</v>
      </c>
      <c r="J11" s="43" t="s">
        <v>35</v>
      </c>
      <c r="K11" s="34" t="s">
        <v>166</v>
      </c>
      <c r="L11" s="34">
        <v>8</v>
      </c>
      <c r="M11" s="36">
        <v>13500000</v>
      </c>
      <c r="N11" s="36">
        <f t="shared" si="7"/>
        <v>108000000</v>
      </c>
      <c r="O11" s="36">
        <f t="shared" si="8"/>
        <v>108000000</v>
      </c>
      <c r="P11" s="36">
        <v>0</v>
      </c>
      <c r="Q11" s="36">
        <v>0</v>
      </c>
      <c r="R11" s="36">
        <f t="shared" si="9"/>
        <v>0</v>
      </c>
      <c r="S11" s="36">
        <f t="shared" si="10"/>
        <v>0</v>
      </c>
      <c r="T11" s="34">
        <v>0</v>
      </c>
      <c r="U11" s="36">
        <f t="shared" si="11"/>
        <v>0</v>
      </c>
    </row>
    <row r="12" spans="1:21">
      <c r="A12" s="34">
        <v>10</v>
      </c>
      <c r="C12" s="34" t="s">
        <v>167</v>
      </c>
      <c r="D12" s="42" t="s">
        <v>63</v>
      </c>
      <c r="E12" s="35">
        <v>46045</v>
      </c>
      <c r="F12" s="34" t="s">
        <v>31</v>
      </c>
      <c r="G12" s="34" t="s">
        <v>32</v>
      </c>
      <c r="H12" s="34" t="s">
        <v>33</v>
      </c>
      <c r="I12" s="34" t="s">
        <v>45</v>
      </c>
      <c r="J12" s="43" t="s">
        <v>35</v>
      </c>
      <c r="K12" s="34" t="s">
        <v>168</v>
      </c>
      <c r="L12" s="34">
        <v>2</v>
      </c>
      <c r="M12" s="41">
        <v>17500000</v>
      </c>
      <c r="N12" s="36">
        <f t="shared" ref="N12" si="12">L12*M12</f>
        <v>35000000</v>
      </c>
      <c r="O12" s="36">
        <f t="shared" ref="O12" si="13">N12</f>
        <v>35000000</v>
      </c>
      <c r="P12" s="36">
        <v>0</v>
      </c>
      <c r="Q12" s="36">
        <v>0</v>
      </c>
      <c r="R12" s="36">
        <f t="shared" ref="R12" si="14">Q12*11/100</f>
        <v>0</v>
      </c>
      <c r="S12" s="36">
        <f t="shared" ref="S12" si="15">Q12*2/100</f>
        <v>0</v>
      </c>
      <c r="T12" s="34">
        <v>0</v>
      </c>
      <c r="U12" s="36">
        <f t="shared" ref="U12" si="16">Q12+R12-S12</f>
        <v>0</v>
      </c>
    </row>
    <row r="13" spans="1:21">
      <c r="A13" s="34">
        <v>11</v>
      </c>
      <c r="C13" s="34" t="s">
        <v>169</v>
      </c>
      <c r="D13" s="42" t="s">
        <v>64</v>
      </c>
      <c r="E13" s="35">
        <v>46055</v>
      </c>
      <c r="F13" s="34" t="s">
        <v>31</v>
      </c>
      <c r="G13" s="34" t="s">
        <v>32</v>
      </c>
      <c r="H13" s="34" t="s">
        <v>33</v>
      </c>
      <c r="I13" s="34" t="s">
        <v>45</v>
      </c>
      <c r="J13" s="43" t="s">
        <v>35</v>
      </c>
      <c r="K13" s="34" t="s">
        <v>36</v>
      </c>
      <c r="L13" s="34">
        <v>8</v>
      </c>
      <c r="M13" s="41">
        <v>17500000</v>
      </c>
      <c r="N13" s="36">
        <f t="shared" si="7"/>
        <v>140000000</v>
      </c>
      <c r="O13" s="36">
        <f t="shared" si="8"/>
        <v>140000000</v>
      </c>
      <c r="P13" s="36">
        <v>0</v>
      </c>
      <c r="Q13" s="36">
        <v>0</v>
      </c>
      <c r="R13" s="36">
        <f t="shared" si="9"/>
        <v>0</v>
      </c>
      <c r="S13" s="36">
        <f t="shared" si="10"/>
        <v>0</v>
      </c>
      <c r="T13" s="34">
        <v>0</v>
      </c>
      <c r="U13" s="36">
        <f t="shared" si="11"/>
        <v>0</v>
      </c>
    </row>
    <row r="14" spans="1:21">
      <c r="A14" s="34">
        <v>12</v>
      </c>
      <c r="C14" s="34" t="s">
        <v>172</v>
      </c>
      <c r="D14" s="42" t="s">
        <v>65</v>
      </c>
      <c r="E14" s="35">
        <v>46059</v>
      </c>
      <c r="F14" s="34" t="s">
        <v>23</v>
      </c>
      <c r="G14" s="34" t="s">
        <v>24</v>
      </c>
      <c r="H14" s="34" t="s">
        <v>25</v>
      </c>
      <c r="I14" s="34" t="s">
        <v>26</v>
      </c>
      <c r="J14" s="43" t="s">
        <v>27</v>
      </c>
      <c r="K14" s="34" t="s">
        <v>170</v>
      </c>
      <c r="L14" s="34">
        <v>2</v>
      </c>
      <c r="M14" s="41">
        <v>16886000</v>
      </c>
      <c r="N14" s="36">
        <f t="shared" si="7"/>
        <v>33772000</v>
      </c>
      <c r="O14" s="36">
        <f t="shared" si="8"/>
        <v>33772000</v>
      </c>
      <c r="P14" s="36">
        <v>0</v>
      </c>
      <c r="Q14" s="36">
        <v>0</v>
      </c>
      <c r="R14" s="36">
        <f t="shared" si="9"/>
        <v>0</v>
      </c>
      <c r="S14" s="36">
        <f t="shared" si="10"/>
        <v>0</v>
      </c>
      <c r="T14" s="34">
        <v>0</v>
      </c>
      <c r="U14" s="36">
        <f t="shared" si="11"/>
        <v>0</v>
      </c>
    </row>
    <row r="15" spans="1:21">
      <c r="A15" s="34">
        <v>13</v>
      </c>
      <c r="C15" s="34" t="s">
        <v>171</v>
      </c>
      <c r="D15" s="42" t="s">
        <v>66</v>
      </c>
      <c r="E15" s="35">
        <v>46072</v>
      </c>
      <c r="F15" s="34" t="s">
        <v>23</v>
      </c>
      <c r="G15" s="34" t="s">
        <v>24</v>
      </c>
      <c r="H15" s="34" t="s">
        <v>25</v>
      </c>
      <c r="I15" s="34" t="s">
        <v>26</v>
      </c>
      <c r="J15" s="43" t="s">
        <v>27</v>
      </c>
      <c r="K15" s="34" t="s">
        <v>173</v>
      </c>
      <c r="L15" s="34">
        <v>15</v>
      </c>
      <c r="M15" s="36">
        <v>14860000</v>
      </c>
      <c r="N15" s="36">
        <f t="shared" si="7"/>
        <v>222900000</v>
      </c>
      <c r="O15" s="36">
        <f t="shared" si="8"/>
        <v>222900000</v>
      </c>
      <c r="P15" s="36">
        <v>0</v>
      </c>
      <c r="Q15" s="36">
        <v>0</v>
      </c>
      <c r="R15" s="36">
        <f t="shared" si="9"/>
        <v>0</v>
      </c>
      <c r="S15" s="36">
        <f t="shared" si="10"/>
        <v>0</v>
      </c>
      <c r="T15" s="34">
        <v>0</v>
      </c>
      <c r="U15" s="36">
        <f t="shared" si="11"/>
        <v>0</v>
      </c>
    </row>
    <row r="16" spans="1:21">
      <c r="A16" s="34">
        <v>14</v>
      </c>
      <c r="C16" s="34" t="s">
        <v>174</v>
      </c>
      <c r="D16" s="42" t="s">
        <v>67</v>
      </c>
      <c r="E16" s="35">
        <v>46072</v>
      </c>
      <c r="F16" s="34" t="s">
        <v>23</v>
      </c>
      <c r="G16" s="34" t="s">
        <v>24</v>
      </c>
      <c r="H16" s="34" t="s">
        <v>25</v>
      </c>
      <c r="I16" s="34" t="s">
        <v>26</v>
      </c>
      <c r="J16" s="43" t="s">
        <v>27</v>
      </c>
      <c r="K16" s="34" t="s">
        <v>175</v>
      </c>
      <c r="L16" s="34">
        <v>4</v>
      </c>
      <c r="M16" s="41">
        <v>16886000</v>
      </c>
      <c r="N16" s="36">
        <f t="shared" si="7"/>
        <v>67544000</v>
      </c>
      <c r="O16" s="36">
        <f t="shared" si="8"/>
        <v>67544000</v>
      </c>
      <c r="P16" s="36">
        <v>0</v>
      </c>
      <c r="Q16" s="36">
        <v>0</v>
      </c>
      <c r="R16" s="36">
        <f t="shared" si="9"/>
        <v>0</v>
      </c>
      <c r="S16" s="36">
        <f t="shared" si="10"/>
        <v>0</v>
      </c>
      <c r="T16" s="34">
        <v>0</v>
      </c>
      <c r="U16" s="36">
        <f t="shared" si="11"/>
        <v>0</v>
      </c>
    </row>
    <row r="17" spans="1:21">
      <c r="A17" s="34">
        <v>15</v>
      </c>
      <c r="C17" s="34" t="s">
        <v>176</v>
      </c>
      <c r="D17" s="42" t="s">
        <v>68</v>
      </c>
      <c r="E17" s="35">
        <v>46097</v>
      </c>
      <c r="F17" s="34" t="s">
        <v>23</v>
      </c>
      <c r="G17" s="34" t="s">
        <v>24</v>
      </c>
      <c r="H17" s="34" t="s">
        <v>25</v>
      </c>
      <c r="I17" s="34" t="s">
        <v>26</v>
      </c>
      <c r="J17" s="43" t="s">
        <v>27</v>
      </c>
      <c r="K17" s="34" t="s">
        <v>177</v>
      </c>
      <c r="L17" s="34">
        <v>10</v>
      </c>
      <c r="M17" s="36">
        <v>14860000</v>
      </c>
      <c r="N17" s="36">
        <f t="shared" si="7"/>
        <v>148600000</v>
      </c>
      <c r="O17" s="36">
        <f t="shared" si="8"/>
        <v>148600000</v>
      </c>
      <c r="P17" s="36">
        <v>0</v>
      </c>
      <c r="Q17" s="36">
        <v>0</v>
      </c>
      <c r="R17" s="36">
        <f t="shared" si="9"/>
        <v>0</v>
      </c>
      <c r="S17" s="36">
        <f t="shared" si="10"/>
        <v>0</v>
      </c>
      <c r="T17" s="34">
        <v>0</v>
      </c>
      <c r="U17" s="36">
        <f t="shared" si="11"/>
        <v>0</v>
      </c>
    </row>
    <row r="18" spans="1:21">
      <c r="A18" s="34">
        <v>16</v>
      </c>
      <c r="C18" s="34" t="s">
        <v>180</v>
      </c>
      <c r="D18" s="42" t="s">
        <v>69</v>
      </c>
      <c r="E18" s="35">
        <v>46112</v>
      </c>
      <c r="F18" s="34" t="s">
        <v>23</v>
      </c>
      <c r="G18" s="34" t="s">
        <v>24</v>
      </c>
      <c r="H18" s="34" t="s">
        <v>25</v>
      </c>
      <c r="I18" s="34" t="s">
        <v>26</v>
      </c>
      <c r="J18" s="43" t="s">
        <v>27</v>
      </c>
      <c r="K18" s="34" t="s">
        <v>178</v>
      </c>
      <c r="L18" s="34">
        <v>6</v>
      </c>
      <c r="M18" s="41">
        <v>15250000</v>
      </c>
      <c r="N18" s="36">
        <f t="shared" ref="N18" si="17">L18*M18</f>
        <v>91500000</v>
      </c>
      <c r="O18" s="36">
        <f t="shared" si="8"/>
        <v>91500000</v>
      </c>
      <c r="P18" s="36">
        <v>0</v>
      </c>
      <c r="Q18" s="36">
        <f t="shared" ref="Q18" si="18">O18*P18</f>
        <v>0</v>
      </c>
      <c r="R18" s="36">
        <f t="shared" ref="R18" si="19">P18*Q18</f>
        <v>0</v>
      </c>
      <c r="S18" s="36">
        <f t="shared" ref="S18" si="20">Q18*R18</f>
        <v>0</v>
      </c>
      <c r="T18" s="34">
        <v>0</v>
      </c>
      <c r="U18" s="36">
        <f t="shared" ref="U18" si="21">S18*T18</f>
        <v>0</v>
      </c>
    </row>
    <row r="19" spans="1:21">
      <c r="A19" s="34">
        <v>17</v>
      </c>
      <c r="C19" s="34" t="s">
        <v>179</v>
      </c>
      <c r="D19" s="42" t="s">
        <v>70</v>
      </c>
      <c r="E19" s="35">
        <v>46122</v>
      </c>
      <c r="F19" s="34" t="s">
        <v>23</v>
      </c>
      <c r="G19" s="34" t="s">
        <v>24</v>
      </c>
      <c r="H19" s="34" t="s">
        <v>25</v>
      </c>
      <c r="I19" s="34" t="s">
        <v>26</v>
      </c>
      <c r="J19" s="43" t="s">
        <v>27</v>
      </c>
      <c r="K19" s="34" t="s">
        <v>181</v>
      </c>
      <c r="L19" s="34">
        <v>9</v>
      </c>
      <c r="M19" s="41">
        <v>16250000</v>
      </c>
      <c r="N19" s="36">
        <f t="shared" si="7"/>
        <v>146250000</v>
      </c>
      <c r="O19" s="36">
        <f t="shared" si="8"/>
        <v>146250000</v>
      </c>
      <c r="P19" s="36">
        <v>0</v>
      </c>
      <c r="Q19" s="36">
        <v>0</v>
      </c>
      <c r="R19" s="36">
        <f t="shared" si="9"/>
        <v>0</v>
      </c>
      <c r="S19" s="36">
        <f t="shared" si="10"/>
        <v>0</v>
      </c>
      <c r="T19" s="34">
        <v>0</v>
      </c>
      <c r="U19" s="36">
        <f t="shared" si="11"/>
        <v>0</v>
      </c>
    </row>
    <row r="20" spans="1:21">
      <c r="A20" s="34">
        <v>18</v>
      </c>
      <c r="C20" s="34" t="s">
        <v>182</v>
      </c>
      <c r="D20" s="42" t="s">
        <v>71</v>
      </c>
      <c r="E20" s="35">
        <v>46150</v>
      </c>
      <c r="F20" s="34" t="s">
        <v>23</v>
      </c>
      <c r="G20" s="34" t="s">
        <v>24</v>
      </c>
      <c r="H20" s="34" t="s">
        <v>25</v>
      </c>
      <c r="I20" s="34" t="s">
        <v>26</v>
      </c>
      <c r="J20" s="43" t="s">
        <v>27</v>
      </c>
      <c r="K20" s="34" t="s">
        <v>183</v>
      </c>
      <c r="L20" s="34">
        <v>4</v>
      </c>
      <c r="M20" s="41">
        <v>17886000</v>
      </c>
      <c r="N20" s="36">
        <f t="shared" si="7"/>
        <v>71544000</v>
      </c>
      <c r="O20" s="36">
        <f t="shared" si="8"/>
        <v>71544000</v>
      </c>
      <c r="P20" s="36">
        <v>0</v>
      </c>
      <c r="Q20" s="36">
        <v>0</v>
      </c>
      <c r="R20" s="36">
        <f t="shared" si="9"/>
        <v>0</v>
      </c>
      <c r="S20" s="36">
        <f t="shared" si="10"/>
        <v>0</v>
      </c>
      <c r="T20" s="34">
        <v>0</v>
      </c>
      <c r="U20" s="36">
        <f t="shared" si="11"/>
        <v>0</v>
      </c>
    </row>
    <row r="21" spans="1:21">
      <c r="A21" s="34">
        <v>19</v>
      </c>
      <c r="C21" s="34" t="s">
        <v>184</v>
      </c>
      <c r="D21" s="42" t="s">
        <v>72</v>
      </c>
      <c r="E21" s="35">
        <v>46162</v>
      </c>
      <c r="F21" s="34" t="s">
        <v>23</v>
      </c>
      <c r="G21" s="34" t="s">
        <v>24</v>
      </c>
      <c r="H21" s="34" t="s">
        <v>25</v>
      </c>
      <c r="I21" s="34" t="s">
        <v>26</v>
      </c>
      <c r="J21" s="43" t="s">
        <v>27</v>
      </c>
      <c r="K21" s="34" t="s">
        <v>185</v>
      </c>
      <c r="L21" s="34">
        <v>8</v>
      </c>
      <c r="M21" s="41">
        <v>16250000</v>
      </c>
      <c r="N21" s="36">
        <f t="shared" si="7"/>
        <v>130000000</v>
      </c>
      <c r="O21" s="36">
        <f t="shared" si="8"/>
        <v>130000000</v>
      </c>
      <c r="P21" s="36">
        <v>0</v>
      </c>
      <c r="Q21" s="36">
        <v>0</v>
      </c>
      <c r="R21" s="36">
        <f t="shared" si="9"/>
        <v>0</v>
      </c>
      <c r="S21" s="36">
        <f t="shared" si="10"/>
        <v>0</v>
      </c>
      <c r="T21" s="34">
        <v>0</v>
      </c>
      <c r="U21" s="36">
        <f t="shared" si="11"/>
        <v>0</v>
      </c>
    </row>
    <row r="22" spans="1:21">
      <c r="A22" s="34">
        <v>20</v>
      </c>
      <c r="C22" s="34" t="s">
        <v>186</v>
      </c>
      <c r="D22" s="42" t="s">
        <v>73</v>
      </c>
      <c r="E22" s="35">
        <v>46195</v>
      </c>
      <c r="F22" s="34" t="s">
        <v>187</v>
      </c>
      <c r="G22" s="34" t="s">
        <v>32</v>
      </c>
      <c r="H22" s="34" t="s">
        <v>33</v>
      </c>
      <c r="I22" s="34" t="s">
        <v>45</v>
      </c>
      <c r="J22" s="43" t="s">
        <v>35</v>
      </c>
      <c r="K22" s="34" t="s">
        <v>188</v>
      </c>
      <c r="L22" s="34">
        <v>2</v>
      </c>
      <c r="M22" s="41">
        <v>5300000</v>
      </c>
      <c r="N22" s="36">
        <f t="shared" si="7"/>
        <v>10600000</v>
      </c>
      <c r="O22" s="36">
        <f t="shared" si="8"/>
        <v>10600000</v>
      </c>
      <c r="P22" s="36">
        <v>0</v>
      </c>
      <c r="Q22" s="36">
        <v>0</v>
      </c>
      <c r="R22" s="36">
        <f t="shared" si="9"/>
        <v>0</v>
      </c>
      <c r="S22" s="36">
        <f t="shared" si="10"/>
        <v>0</v>
      </c>
      <c r="T22" s="34">
        <v>0</v>
      </c>
      <c r="U22" s="36">
        <f t="shared" si="11"/>
        <v>0</v>
      </c>
    </row>
    <row r="23" spans="1:21">
      <c r="A23" s="34">
        <v>21</v>
      </c>
      <c r="C23" s="34" t="s">
        <v>189</v>
      </c>
      <c r="D23" s="42" t="s">
        <v>74</v>
      </c>
      <c r="E23" s="35">
        <v>46210</v>
      </c>
      <c r="F23" s="34" t="s">
        <v>23</v>
      </c>
      <c r="G23" s="34" t="s">
        <v>24</v>
      </c>
      <c r="H23" s="34" t="s">
        <v>25</v>
      </c>
      <c r="I23" s="34" t="s">
        <v>26</v>
      </c>
      <c r="J23" s="43" t="s">
        <v>27</v>
      </c>
      <c r="K23" s="34" t="s">
        <v>190</v>
      </c>
      <c r="L23" s="34">
        <v>4</v>
      </c>
      <c r="M23" s="41">
        <v>18000000</v>
      </c>
      <c r="N23" s="36">
        <f t="shared" si="7"/>
        <v>72000000</v>
      </c>
      <c r="O23" s="36">
        <f t="shared" si="8"/>
        <v>72000000</v>
      </c>
      <c r="P23" s="36">
        <v>0</v>
      </c>
      <c r="Q23" s="36">
        <v>0</v>
      </c>
      <c r="R23" s="36">
        <f t="shared" si="9"/>
        <v>0</v>
      </c>
      <c r="S23" s="36">
        <f t="shared" si="10"/>
        <v>0</v>
      </c>
      <c r="T23" s="34">
        <v>0</v>
      </c>
      <c r="U23" s="36">
        <f t="shared" si="11"/>
        <v>0</v>
      </c>
    </row>
    <row r="24" spans="1:21">
      <c r="A24" s="34">
        <v>22</v>
      </c>
      <c r="C24" s="34" t="s">
        <v>191</v>
      </c>
      <c r="D24" s="42" t="s">
        <v>75</v>
      </c>
      <c r="E24" s="35">
        <v>46219</v>
      </c>
      <c r="F24" s="34" t="s">
        <v>23</v>
      </c>
      <c r="G24" s="34" t="s">
        <v>24</v>
      </c>
      <c r="H24" s="34" t="s">
        <v>25</v>
      </c>
      <c r="I24" s="34" t="s">
        <v>26</v>
      </c>
      <c r="J24" s="43" t="s">
        <v>27</v>
      </c>
      <c r="K24" s="34" t="s">
        <v>192</v>
      </c>
      <c r="L24" s="34">
        <v>5</v>
      </c>
      <c r="M24" s="41">
        <v>16250000</v>
      </c>
      <c r="N24" s="36">
        <f t="shared" si="7"/>
        <v>81250000</v>
      </c>
      <c r="O24" s="36">
        <f t="shared" si="8"/>
        <v>81250000</v>
      </c>
      <c r="P24" s="36">
        <v>0</v>
      </c>
      <c r="Q24" s="36">
        <v>0</v>
      </c>
      <c r="R24" s="36">
        <f t="shared" si="9"/>
        <v>0</v>
      </c>
      <c r="S24" s="36">
        <f t="shared" si="10"/>
        <v>0</v>
      </c>
      <c r="T24" s="34">
        <v>0</v>
      </c>
      <c r="U24" s="36">
        <f t="shared" si="11"/>
        <v>0</v>
      </c>
    </row>
    <row r="25" spans="1:21">
      <c r="A25" s="34">
        <v>23</v>
      </c>
      <c r="C25" s="34" t="s">
        <v>77</v>
      </c>
      <c r="D25" s="42" t="s">
        <v>76</v>
      </c>
      <c r="E25" s="35">
        <v>45983</v>
      </c>
      <c r="F25" s="34" t="s">
        <v>56</v>
      </c>
      <c r="G25" s="34" t="s">
        <v>57</v>
      </c>
      <c r="H25" s="34" t="s">
        <v>58</v>
      </c>
      <c r="I25" s="34" t="s">
        <v>59</v>
      </c>
      <c r="J25" s="43" t="s">
        <v>60</v>
      </c>
      <c r="K25" s="34" t="s">
        <v>61</v>
      </c>
      <c r="L25" s="34">
        <v>0</v>
      </c>
      <c r="M25" s="41">
        <v>0</v>
      </c>
      <c r="N25" s="36">
        <f t="shared" si="7"/>
        <v>0</v>
      </c>
      <c r="O25" s="36">
        <f t="shared" si="8"/>
        <v>0</v>
      </c>
      <c r="P25" s="36">
        <v>0</v>
      </c>
      <c r="Q25" s="36">
        <v>0</v>
      </c>
      <c r="R25" s="36">
        <f t="shared" si="9"/>
        <v>0</v>
      </c>
      <c r="S25" s="36">
        <f t="shared" si="10"/>
        <v>0</v>
      </c>
      <c r="T25" s="34">
        <v>0</v>
      </c>
      <c r="U25" s="36">
        <f t="shared" si="11"/>
        <v>0</v>
      </c>
    </row>
    <row r="26" spans="1:21">
      <c r="A26" s="34">
        <v>24</v>
      </c>
      <c r="C26" s="34" t="s">
        <v>79</v>
      </c>
      <c r="D26" s="42" t="s">
        <v>78</v>
      </c>
      <c r="E26" s="35">
        <v>45983</v>
      </c>
      <c r="F26" s="34" t="s">
        <v>56</v>
      </c>
      <c r="G26" s="34" t="s">
        <v>57</v>
      </c>
      <c r="H26" s="34" t="s">
        <v>58</v>
      </c>
      <c r="I26" s="34" t="s">
        <v>59</v>
      </c>
      <c r="J26" s="43" t="s">
        <v>60</v>
      </c>
      <c r="K26" s="34" t="s">
        <v>61</v>
      </c>
      <c r="L26" s="34">
        <v>0</v>
      </c>
      <c r="M26" s="41">
        <v>0</v>
      </c>
      <c r="N26" s="36">
        <f t="shared" si="7"/>
        <v>0</v>
      </c>
      <c r="O26" s="36">
        <f t="shared" si="8"/>
        <v>0</v>
      </c>
      <c r="P26" s="36">
        <v>0</v>
      </c>
      <c r="Q26" s="36">
        <v>0</v>
      </c>
      <c r="R26" s="36">
        <f t="shared" si="9"/>
        <v>0</v>
      </c>
      <c r="S26" s="36">
        <f t="shared" si="10"/>
        <v>0</v>
      </c>
      <c r="T26" s="34">
        <v>0</v>
      </c>
      <c r="U26" s="36">
        <f t="shared" si="11"/>
        <v>0</v>
      </c>
    </row>
    <row r="27" spans="1:21">
      <c r="A27" s="34">
        <v>25</v>
      </c>
      <c r="C27" s="34" t="s">
        <v>81</v>
      </c>
      <c r="D27" s="42" t="s">
        <v>80</v>
      </c>
      <c r="E27" s="35">
        <v>45983</v>
      </c>
      <c r="F27" s="34" t="s">
        <v>56</v>
      </c>
      <c r="G27" s="34" t="s">
        <v>57</v>
      </c>
      <c r="H27" s="34" t="s">
        <v>58</v>
      </c>
      <c r="I27" s="34" t="s">
        <v>59</v>
      </c>
      <c r="J27" s="43" t="s">
        <v>60</v>
      </c>
      <c r="K27" s="34" t="s">
        <v>61</v>
      </c>
      <c r="L27" s="34">
        <v>0</v>
      </c>
      <c r="M27" s="41">
        <v>0</v>
      </c>
      <c r="N27" s="36">
        <f t="shared" si="7"/>
        <v>0</v>
      </c>
      <c r="O27" s="36">
        <f t="shared" si="8"/>
        <v>0</v>
      </c>
      <c r="P27" s="36">
        <v>0</v>
      </c>
      <c r="Q27" s="36">
        <v>0</v>
      </c>
      <c r="R27" s="36">
        <f t="shared" si="9"/>
        <v>0</v>
      </c>
      <c r="S27" s="36">
        <f t="shared" si="10"/>
        <v>0</v>
      </c>
      <c r="T27" s="34">
        <v>0</v>
      </c>
      <c r="U27" s="36">
        <f t="shared" si="11"/>
        <v>0</v>
      </c>
    </row>
    <row r="28" spans="1:21">
      <c r="A28" s="34">
        <v>26</v>
      </c>
      <c r="C28" s="34" t="s">
        <v>83</v>
      </c>
      <c r="D28" s="42" t="s">
        <v>82</v>
      </c>
      <c r="E28" s="35">
        <v>45983</v>
      </c>
      <c r="F28" s="34" t="s">
        <v>56</v>
      </c>
      <c r="G28" s="34" t="s">
        <v>57</v>
      </c>
      <c r="H28" s="34" t="s">
        <v>58</v>
      </c>
      <c r="I28" s="34" t="s">
        <v>59</v>
      </c>
      <c r="J28" s="43" t="s">
        <v>60</v>
      </c>
      <c r="K28" s="34" t="s">
        <v>61</v>
      </c>
      <c r="L28" s="34">
        <v>0</v>
      </c>
      <c r="M28" s="41">
        <v>0</v>
      </c>
      <c r="N28" s="36">
        <f t="shared" si="7"/>
        <v>0</v>
      </c>
      <c r="O28" s="36">
        <f t="shared" si="8"/>
        <v>0</v>
      </c>
      <c r="P28" s="36">
        <v>0</v>
      </c>
      <c r="Q28" s="36">
        <v>0</v>
      </c>
      <c r="R28" s="36">
        <f t="shared" si="9"/>
        <v>0</v>
      </c>
      <c r="S28" s="36">
        <f t="shared" si="10"/>
        <v>0</v>
      </c>
      <c r="T28" s="34">
        <v>0</v>
      </c>
      <c r="U28" s="36">
        <f t="shared" si="11"/>
        <v>0</v>
      </c>
    </row>
    <row r="29" spans="1:21">
      <c r="A29" s="34">
        <v>27</v>
      </c>
      <c r="C29" s="34" t="s">
        <v>85</v>
      </c>
      <c r="D29" s="42" t="s">
        <v>84</v>
      </c>
      <c r="E29" s="35">
        <v>45983</v>
      </c>
      <c r="F29" s="34" t="s">
        <v>56</v>
      </c>
      <c r="G29" s="34" t="s">
        <v>57</v>
      </c>
      <c r="H29" s="34" t="s">
        <v>58</v>
      </c>
      <c r="I29" s="34" t="s">
        <v>59</v>
      </c>
      <c r="J29" s="43" t="s">
        <v>60</v>
      </c>
      <c r="K29" s="34" t="s">
        <v>61</v>
      </c>
      <c r="L29" s="34">
        <v>0</v>
      </c>
      <c r="M29" s="41">
        <v>0</v>
      </c>
      <c r="N29" s="36">
        <f t="shared" si="7"/>
        <v>0</v>
      </c>
      <c r="O29" s="36">
        <f t="shared" si="8"/>
        <v>0</v>
      </c>
      <c r="P29" s="36">
        <v>0</v>
      </c>
      <c r="Q29" s="36">
        <v>0</v>
      </c>
      <c r="R29" s="36">
        <f t="shared" si="9"/>
        <v>0</v>
      </c>
      <c r="S29" s="36">
        <f t="shared" si="10"/>
        <v>0</v>
      </c>
      <c r="T29" s="34">
        <v>0</v>
      </c>
      <c r="U29" s="36">
        <f t="shared" si="11"/>
        <v>0</v>
      </c>
    </row>
    <row r="30" spans="1:21">
      <c r="A30" s="34">
        <v>28</v>
      </c>
      <c r="C30" s="34" t="s">
        <v>87</v>
      </c>
      <c r="D30" s="42" t="s">
        <v>86</v>
      </c>
      <c r="E30" s="35">
        <v>45983</v>
      </c>
      <c r="F30" s="34" t="s">
        <v>56</v>
      </c>
      <c r="G30" s="34" t="s">
        <v>57</v>
      </c>
      <c r="H30" s="34" t="s">
        <v>58</v>
      </c>
      <c r="I30" s="34" t="s">
        <v>59</v>
      </c>
      <c r="J30" s="43" t="s">
        <v>60</v>
      </c>
      <c r="K30" s="34" t="s">
        <v>61</v>
      </c>
      <c r="L30" s="34">
        <v>0</v>
      </c>
      <c r="M30" s="41">
        <v>0</v>
      </c>
      <c r="N30" s="36">
        <f t="shared" si="7"/>
        <v>0</v>
      </c>
      <c r="O30" s="36">
        <f t="shared" si="8"/>
        <v>0</v>
      </c>
      <c r="P30" s="36">
        <v>0</v>
      </c>
      <c r="Q30" s="36">
        <v>0</v>
      </c>
      <c r="R30" s="36">
        <f t="shared" si="9"/>
        <v>0</v>
      </c>
      <c r="S30" s="36">
        <f t="shared" si="10"/>
        <v>0</v>
      </c>
      <c r="T30" s="34">
        <v>0</v>
      </c>
      <c r="U30" s="36">
        <f t="shared" si="11"/>
        <v>0</v>
      </c>
    </row>
    <row r="31" spans="1:21">
      <c r="A31" s="34">
        <v>29</v>
      </c>
      <c r="C31" s="34" t="s">
        <v>89</v>
      </c>
      <c r="D31" s="42" t="s">
        <v>88</v>
      </c>
      <c r="E31" s="35">
        <v>45983</v>
      </c>
      <c r="F31" s="34" t="s">
        <v>56</v>
      </c>
      <c r="G31" s="34" t="s">
        <v>57</v>
      </c>
      <c r="H31" s="34" t="s">
        <v>58</v>
      </c>
      <c r="I31" s="34" t="s">
        <v>59</v>
      </c>
      <c r="J31" s="43" t="s">
        <v>60</v>
      </c>
      <c r="K31" s="34" t="s">
        <v>61</v>
      </c>
      <c r="L31" s="34">
        <v>0</v>
      </c>
      <c r="M31" s="41">
        <v>0</v>
      </c>
      <c r="N31" s="36">
        <f t="shared" si="7"/>
        <v>0</v>
      </c>
      <c r="O31" s="36">
        <f t="shared" si="8"/>
        <v>0</v>
      </c>
      <c r="P31" s="36">
        <v>0</v>
      </c>
      <c r="Q31" s="36">
        <v>0</v>
      </c>
      <c r="R31" s="36">
        <f t="shared" si="9"/>
        <v>0</v>
      </c>
      <c r="S31" s="36">
        <f t="shared" si="10"/>
        <v>0</v>
      </c>
      <c r="T31" s="34">
        <v>0</v>
      </c>
      <c r="U31" s="36">
        <f t="shared" si="11"/>
        <v>0</v>
      </c>
    </row>
    <row r="32" spans="1:21">
      <c r="A32" s="34">
        <v>30</v>
      </c>
      <c r="C32" s="34" t="s">
        <v>91</v>
      </c>
      <c r="D32" s="42" t="s">
        <v>90</v>
      </c>
      <c r="E32" s="35">
        <v>45983</v>
      </c>
      <c r="F32" s="34" t="s">
        <v>56</v>
      </c>
      <c r="G32" s="34" t="s">
        <v>57</v>
      </c>
      <c r="H32" s="34" t="s">
        <v>58</v>
      </c>
      <c r="I32" s="34" t="s">
        <v>59</v>
      </c>
      <c r="J32" s="43" t="s">
        <v>60</v>
      </c>
      <c r="K32" s="34" t="s">
        <v>61</v>
      </c>
      <c r="L32" s="34">
        <v>0</v>
      </c>
      <c r="M32" s="41">
        <v>0</v>
      </c>
      <c r="N32" s="36">
        <f t="shared" si="7"/>
        <v>0</v>
      </c>
      <c r="O32" s="36">
        <f t="shared" si="8"/>
        <v>0</v>
      </c>
      <c r="P32" s="36">
        <v>0</v>
      </c>
      <c r="Q32" s="36">
        <v>0</v>
      </c>
      <c r="R32" s="36">
        <f t="shared" si="9"/>
        <v>0</v>
      </c>
      <c r="S32" s="36">
        <f t="shared" si="10"/>
        <v>0</v>
      </c>
      <c r="T32" s="34">
        <v>0</v>
      </c>
      <c r="U32" s="36">
        <f t="shared" si="11"/>
        <v>0</v>
      </c>
    </row>
    <row r="33" spans="1:21">
      <c r="A33" s="34">
        <v>31</v>
      </c>
      <c r="C33" s="34" t="s">
        <v>93</v>
      </c>
      <c r="D33" s="42" t="s">
        <v>92</v>
      </c>
      <c r="E33" s="35">
        <v>45983</v>
      </c>
      <c r="F33" s="34" t="s">
        <v>56</v>
      </c>
      <c r="G33" s="34" t="s">
        <v>57</v>
      </c>
      <c r="H33" s="34" t="s">
        <v>58</v>
      </c>
      <c r="I33" s="34" t="s">
        <v>59</v>
      </c>
      <c r="J33" s="43" t="s">
        <v>60</v>
      </c>
      <c r="K33" s="34" t="s">
        <v>61</v>
      </c>
      <c r="L33" s="34">
        <v>0</v>
      </c>
      <c r="M33" s="41">
        <v>0</v>
      </c>
      <c r="N33" s="36">
        <f t="shared" si="7"/>
        <v>0</v>
      </c>
      <c r="O33" s="36">
        <f t="shared" si="8"/>
        <v>0</v>
      </c>
      <c r="P33" s="36">
        <v>0</v>
      </c>
      <c r="Q33" s="36">
        <v>0</v>
      </c>
      <c r="R33" s="36">
        <f t="shared" si="9"/>
        <v>0</v>
      </c>
      <c r="S33" s="36">
        <f t="shared" si="10"/>
        <v>0</v>
      </c>
      <c r="T33" s="34">
        <v>0</v>
      </c>
      <c r="U33" s="36">
        <f t="shared" si="11"/>
        <v>0</v>
      </c>
    </row>
    <row r="34" spans="1:21">
      <c r="A34" s="34">
        <v>32</v>
      </c>
      <c r="C34" s="34" t="s">
        <v>95</v>
      </c>
      <c r="D34" s="42" t="s">
        <v>94</v>
      </c>
      <c r="E34" s="35">
        <v>45983</v>
      </c>
      <c r="F34" s="34" t="s">
        <v>56</v>
      </c>
      <c r="G34" s="34" t="s">
        <v>57</v>
      </c>
      <c r="H34" s="34" t="s">
        <v>58</v>
      </c>
      <c r="I34" s="34" t="s">
        <v>59</v>
      </c>
      <c r="J34" s="43" t="s">
        <v>60</v>
      </c>
      <c r="K34" s="34" t="s">
        <v>61</v>
      </c>
      <c r="L34" s="34">
        <v>0</v>
      </c>
      <c r="M34" s="41">
        <v>0</v>
      </c>
      <c r="N34" s="36">
        <f t="shared" si="7"/>
        <v>0</v>
      </c>
      <c r="O34" s="36">
        <f t="shared" si="8"/>
        <v>0</v>
      </c>
      <c r="P34" s="36">
        <v>0</v>
      </c>
      <c r="Q34" s="36">
        <v>0</v>
      </c>
      <c r="R34" s="36">
        <f t="shared" si="9"/>
        <v>0</v>
      </c>
      <c r="S34" s="36">
        <f t="shared" si="10"/>
        <v>0</v>
      </c>
      <c r="T34" s="34">
        <v>0</v>
      </c>
      <c r="U34" s="36">
        <f t="shared" si="11"/>
        <v>0</v>
      </c>
    </row>
    <row r="35" spans="1:21">
      <c r="A35" s="34">
        <v>33</v>
      </c>
      <c r="C35" s="34" t="s">
        <v>97</v>
      </c>
      <c r="D35" s="42" t="s">
        <v>96</v>
      </c>
      <c r="E35" s="35">
        <v>45983</v>
      </c>
      <c r="F35" s="34" t="s">
        <v>56</v>
      </c>
      <c r="G35" s="34" t="s">
        <v>57</v>
      </c>
      <c r="H35" s="34" t="s">
        <v>58</v>
      </c>
      <c r="I35" s="34" t="s">
        <v>59</v>
      </c>
      <c r="J35" s="43" t="s">
        <v>60</v>
      </c>
      <c r="K35" s="34" t="s">
        <v>61</v>
      </c>
      <c r="L35" s="34">
        <v>0</v>
      </c>
      <c r="M35" s="41">
        <v>0</v>
      </c>
      <c r="N35" s="36">
        <f t="shared" si="7"/>
        <v>0</v>
      </c>
      <c r="O35" s="36">
        <f t="shared" si="8"/>
        <v>0</v>
      </c>
      <c r="P35" s="36">
        <v>0</v>
      </c>
      <c r="Q35" s="36">
        <v>0</v>
      </c>
      <c r="R35" s="36">
        <f t="shared" si="9"/>
        <v>0</v>
      </c>
      <c r="S35" s="36">
        <f t="shared" si="10"/>
        <v>0</v>
      </c>
      <c r="T35" s="34">
        <v>0</v>
      </c>
      <c r="U35" s="36">
        <f t="shared" si="11"/>
        <v>0</v>
      </c>
    </row>
    <row r="36" spans="1:21">
      <c r="A36" s="34">
        <v>34</v>
      </c>
      <c r="C36" s="34" t="s">
        <v>99</v>
      </c>
      <c r="D36" s="42" t="s">
        <v>98</v>
      </c>
      <c r="E36" s="35">
        <v>45983</v>
      </c>
      <c r="F36" s="34" t="s">
        <v>56</v>
      </c>
      <c r="G36" s="34" t="s">
        <v>57</v>
      </c>
      <c r="H36" s="34" t="s">
        <v>58</v>
      </c>
      <c r="I36" s="34" t="s">
        <v>59</v>
      </c>
      <c r="J36" s="43" t="s">
        <v>60</v>
      </c>
      <c r="K36" s="34" t="s">
        <v>61</v>
      </c>
      <c r="L36" s="34">
        <v>0</v>
      </c>
      <c r="M36" s="41">
        <v>0</v>
      </c>
      <c r="N36" s="36">
        <f t="shared" si="7"/>
        <v>0</v>
      </c>
      <c r="O36" s="36">
        <f t="shared" si="8"/>
        <v>0</v>
      </c>
      <c r="P36" s="36">
        <v>0</v>
      </c>
      <c r="Q36" s="36">
        <v>0</v>
      </c>
      <c r="R36" s="36">
        <f t="shared" si="9"/>
        <v>0</v>
      </c>
      <c r="S36" s="36">
        <f t="shared" si="10"/>
        <v>0</v>
      </c>
      <c r="T36" s="34">
        <v>0</v>
      </c>
      <c r="U36" s="36">
        <f t="shared" si="11"/>
        <v>0</v>
      </c>
    </row>
    <row r="37" spans="1:21">
      <c r="A37" s="34">
        <v>35</v>
      </c>
      <c r="C37" s="34" t="s">
        <v>101</v>
      </c>
      <c r="D37" s="42" t="s">
        <v>100</v>
      </c>
      <c r="E37" s="35">
        <v>45983</v>
      </c>
      <c r="F37" s="34" t="s">
        <v>56</v>
      </c>
      <c r="G37" s="34" t="s">
        <v>57</v>
      </c>
      <c r="H37" s="34" t="s">
        <v>58</v>
      </c>
      <c r="I37" s="34" t="s">
        <v>59</v>
      </c>
      <c r="J37" s="43" t="s">
        <v>60</v>
      </c>
      <c r="K37" s="34" t="s">
        <v>61</v>
      </c>
      <c r="L37" s="34">
        <v>0</v>
      </c>
      <c r="M37" s="41">
        <v>0</v>
      </c>
      <c r="N37" s="36">
        <f t="shared" si="7"/>
        <v>0</v>
      </c>
      <c r="O37" s="36">
        <f t="shared" si="8"/>
        <v>0</v>
      </c>
      <c r="P37" s="36">
        <v>0</v>
      </c>
      <c r="Q37" s="36">
        <v>0</v>
      </c>
      <c r="R37" s="36">
        <f t="shared" si="9"/>
        <v>0</v>
      </c>
      <c r="S37" s="36">
        <f t="shared" si="10"/>
        <v>0</v>
      </c>
      <c r="T37" s="34">
        <v>0</v>
      </c>
      <c r="U37" s="36">
        <f t="shared" si="11"/>
        <v>0</v>
      </c>
    </row>
    <row r="38" spans="1:21">
      <c r="A38" s="34">
        <v>36</v>
      </c>
      <c r="C38" s="34" t="s">
        <v>103</v>
      </c>
      <c r="D38" s="42" t="s">
        <v>102</v>
      </c>
      <c r="E38" s="35">
        <v>45983</v>
      </c>
      <c r="F38" s="34" t="s">
        <v>56</v>
      </c>
      <c r="G38" s="34" t="s">
        <v>57</v>
      </c>
      <c r="H38" s="34" t="s">
        <v>58</v>
      </c>
      <c r="I38" s="34" t="s">
        <v>59</v>
      </c>
      <c r="J38" s="43" t="s">
        <v>60</v>
      </c>
      <c r="K38" s="34" t="s">
        <v>61</v>
      </c>
      <c r="L38" s="34">
        <v>0</v>
      </c>
      <c r="M38" s="41">
        <v>0</v>
      </c>
      <c r="N38" s="36">
        <f t="shared" si="7"/>
        <v>0</v>
      </c>
      <c r="O38" s="36">
        <f t="shared" si="8"/>
        <v>0</v>
      </c>
      <c r="P38" s="36">
        <v>0</v>
      </c>
      <c r="Q38" s="36">
        <v>0</v>
      </c>
      <c r="R38" s="36">
        <f t="shared" si="9"/>
        <v>0</v>
      </c>
      <c r="S38" s="36">
        <f t="shared" si="10"/>
        <v>0</v>
      </c>
      <c r="T38" s="34">
        <v>0</v>
      </c>
      <c r="U38" s="36">
        <f t="shared" si="11"/>
        <v>0</v>
      </c>
    </row>
    <row r="39" spans="1:21">
      <c r="A39" s="34">
        <v>37</v>
      </c>
      <c r="C39" s="34" t="s">
        <v>105</v>
      </c>
      <c r="D39" s="42" t="s">
        <v>104</v>
      </c>
      <c r="E39" s="35">
        <v>45983</v>
      </c>
      <c r="F39" s="34" t="s">
        <v>56</v>
      </c>
      <c r="G39" s="34" t="s">
        <v>57</v>
      </c>
      <c r="H39" s="34" t="s">
        <v>58</v>
      </c>
      <c r="I39" s="34" t="s">
        <v>59</v>
      </c>
      <c r="J39" s="43" t="s">
        <v>60</v>
      </c>
      <c r="K39" s="34" t="s">
        <v>61</v>
      </c>
      <c r="L39" s="34">
        <v>0</v>
      </c>
      <c r="M39" s="41">
        <v>0</v>
      </c>
      <c r="N39" s="36">
        <f t="shared" si="7"/>
        <v>0</v>
      </c>
      <c r="O39" s="36">
        <f t="shared" si="8"/>
        <v>0</v>
      </c>
      <c r="P39" s="36">
        <v>0</v>
      </c>
      <c r="Q39" s="36">
        <v>0</v>
      </c>
      <c r="R39" s="36">
        <f t="shared" si="9"/>
        <v>0</v>
      </c>
      <c r="S39" s="36">
        <f t="shared" si="10"/>
        <v>0</v>
      </c>
      <c r="T39" s="34">
        <v>0</v>
      </c>
      <c r="U39" s="36">
        <f t="shared" si="11"/>
        <v>0</v>
      </c>
    </row>
    <row r="40" spans="1:21">
      <c r="A40" s="34">
        <v>38</v>
      </c>
      <c r="C40" s="34" t="s">
        <v>107</v>
      </c>
      <c r="D40" s="42" t="s">
        <v>106</v>
      </c>
      <c r="E40" s="35">
        <v>45983</v>
      </c>
      <c r="F40" s="34" t="s">
        <v>56</v>
      </c>
      <c r="G40" s="34" t="s">
        <v>57</v>
      </c>
      <c r="H40" s="34" t="s">
        <v>58</v>
      </c>
      <c r="I40" s="34" t="s">
        <v>59</v>
      </c>
      <c r="J40" s="43" t="s">
        <v>60</v>
      </c>
      <c r="K40" s="34" t="s">
        <v>61</v>
      </c>
      <c r="L40" s="34">
        <v>0</v>
      </c>
      <c r="M40" s="41">
        <v>0</v>
      </c>
      <c r="N40" s="36">
        <f t="shared" si="7"/>
        <v>0</v>
      </c>
      <c r="O40" s="36">
        <f t="shared" si="8"/>
        <v>0</v>
      </c>
      <c r="P40" s="36">
        <v>0</v>
      </c>
      <c r="Q40" s="36">
        <v>0</v>
      </c>
      <c r="R40" s="36">
        <f t="shared" si="9"/>
        <v>0</v>
      </c>
      <c r="S40" s="36">
        <f t="shared" si="10"/>
        <v>0</v>
      </c>
      <c r="T40" s="34">
        <v>0</v>
      </c>
      <c r="U40" s="36">
        <f t="shared" si="11"/>
        <v>0</v>
      </c>
    </row>
    <row r="41" spans="1:21">
      <c r="A41" s="34">
        <v>39</v>
      </c>
      <c r="C41" s="34" t="s">
        <v>107</v>
      </c>
      <c r="D41" s="42" t="s">
        <v>108</v>
      </c>
      <c r="E41" s="35">
        <v>45983</v>
      </c>
      <c r="F41" s="34" t="s">
        <v>56</v>
      </c>
      <c r="G41" s="34" t="s">
        <v>57</v>
      </c>
      <c r="H41" s="34" t="s">
        <v>58</v>
      </c>
      <c r="I41" s="34" t="s">
        <v>59</v>
      </c>
      <c r="J41" s="43" t="s">
        <v>60</v>
      </c>
      <c r="K41" s="34" t="s">
        <v>61</v>
      </c>
      <c r="L41" s="34">
        <v>0</v>
      </c>
      <c r="M41" s="41">
        <v>0</v>
      </c>
      <c r="N41" s="36">
        <f t="shared" si="7"/>
        <v>0</v>
      </c>
      <c r="O41" s="36">
        <f t="shared" si="8"/>
        <v>0</v>
      </c>
      <c r="P41" s="36">
        <v>0</v>
      </c>
      <c r="Q41" s="36">
        <v>0</v>
      </c>
      <c r="R41" s="36">
        <f t="shared" si="9"/>
        <v>0</v>
      </c>
      <c r="S41" s="36">
        <f t="shared" si="10"/>
        <v>0</v>
      </c>
      <c r="T41" s="34">
        <v>0</v>
      </c>
      <c r="U41" s="36">
        <f t="shared" si="11"/>
        <v>0</v>
      </c>
    </row>
    <row r="42" spans="1:21">
      <c r="A42" s="34">
        <v>40</v>
      </c>
      <c r="C42" s="34" t="s">
        <v>109</v>
      </c>
      <c r="D42" s="42" t="s">
        <v>110</v>
      </c>
      <c r="E42" s="35">
        <v>45983</v>
      </c>
      <c r="F42" s="34" t="s">
        <v>56</v>
      </c>
      <c r="G42" s="34" t="s">
        <v>57</v>
      </c>
      <c r="H42" s="34" t="s">
        <v>58</v>
      </c>
      <c r="I42" s="34" t="s">
        <v>59</v>
      </c>
      <c r="J42" s="43" t="s">
        <v>60</v>
      </c>
      <c r="K42" s="34" t="s">
        <v>61</v>
      </c>
      <c r="L42" s="34">
        <v>0</v>
      </c>
      <c r="M42" s="41">
        <v>0</v>
      </c>
      <c r="N42" s="36">
        <f t="shared" si="7"/>
        <v>0</v>
      </c>
      <c r="O42" s="36">
        <f t="shared" si="8"/>
        <v>0</v>
      </c>
      <c r="P42" s="36">
        <v>0</v>
      </c>
      <c r="Q42" s="36">
        <v>0</v>
      </c>
      <c r="R42" s="36">
        <f t="shared" si="9"/>
        <v>0</v>
      </c>
      <c r="S42" s="36">
        <f t="shared" si="10"/>
        <v>0</v>
      </c>
      <c r="T42" s="34">
        <v>0</v>
      </c>
      <c r="U42" s="36">
        <f t="shared" si="11"/>
        <v>0</v>
      </c>
    </row>
    <row r="43" spans="1:21">
      <c r="A43" s="34">
        <v>41</v>
      </c>
      <c r="C43" s="34" t="s">
        <v>111</v>
      </c>
      <c r="D43" s="42" t="s">
        <v>112</v>
      </c>
      <c r="E43" s="35">
        <v>45983</v>
      </c>
      <c r="F43" s="34" t="s">
        <v>56</v>
      </c>
      <c r="G43" s="34" t="s">
        <v>57</v>
      </c>
      <c r="H43" s="34" t="s">
        <v>58</v>
      </c>
      <c r="I43" s="34" t="s">
        <v>59</v>
      </c>
      <c r="J43" s="43" t="s">
        <v>60</v>
      </c>
      <c r="K43" s="34" t="s">
        <v>61</v>
      </c>
      <c r="L43" s="34">
        <v>0</v>
      </c>
      <c r="M43" s="41">
        <v>0</v>
      </c>
      <c r="N43" s="36">
        <f t="shared" si="7"/>
        <v>0</v>
      </c>
      <c r="O43" s="36">
        <f t="shared" si="8"/>
        <v>0</v>
      </c>
      <c r="P43" s="36">
        <v>0</v>
      </c>
      <c r="Q43" s="36">
        <v>0</v>
      </c>
      <c r="R43" s="36">
        <f t="shared" si="9"/>
        <v>0</v>
      </c>
      <c r="S43" s="36">
        <f t="shared" si="10"/>
        <v>0</v>
      </c>
      <c r="T43" s="34">
        <v>0</v>
      </c>
      <c r="U43" s="36">
        <f t="shared" si="11"/>
        <v>0</v>
      </c>
    </row>
    <row r="44" spans="1:21">
      <c r="A44" s="34">
        <v>42</v>
      </c>
      <c r="C44" s="34" t="s">
        <v>113</v>
      </c>
      <c r="D44" s="42" t="s">
        <v>114</v>
      </c>
      <c r="E44" s="35">
        <v>45983</v>
      </c>
      <c r="F44" s="34" t="s">
        <v>56</v>
      </c>
      <c r="G44" s="34" t="s">
        <v>57</v>
      </c>
      <c r="H44" s="34" t="s">
        <v>58</v>
      </c>
      <c r="I44" s="34" t="s">
        <v>59</v>
      </c>
      <c r="J44" s="43" t="s">
        <v>60</v>
      </c>
      <c r="K44" s="34" t="s">
        <v>61</v>
      </c>
      <c r="L44" s="34">
        <v>0</v>
      </c>
      <c r="M44" s="41">
        <v>0</v>
      </c>
      <c r="N44" s="36">
        <f t="shared" si="7"/>
        <v>0</v>
      </c>
      <c r="O44" s="36">
        <f t="shared" si="8"/>
        <v>0</v>
      </c>
      <c r="P44" s="36">
        <v>0</v>
      </c>
      <c r="Q44" s="36">
        <v>0</v>
      </c>
      <c r="R44" s="36">
        <f t="shared" si="9"/>
        <v>0</v>
      </c>
      <c r="S44" s="36">
        <f t="shared" si="10"/>
        <v>0</v>
      </c>
      <c r="T44" s="34">
        <v>0</v>
      </c>
      <c r="U44" s="36">
        <f t="shared" si="11"/>
        <v>0</v>
      </c>
    </row>
    <row r="45" spans="1:21">
      <c r="A45" s="34">
        <v>43</v>
      </c>
      <c r="C45" s="34" t="s">
        <v>115</v>
      </c>
      <c r="D45" s="42" t="s">
        <v>116</v>
      </c>
      <c r="E45" s="35">
        <v>45983</v>
      </c>
      <c r="F45" s="34" t="s">
        <v>56</v>
      </c>
      <c r="G45" s="34" t="s">
        <v>57</v>
      </c>
      <c r="H45" s="34" t="s">
        <v>58</v>
      </c>
      <c r="I45" s="34" t="s">
        <v>59</v>
      </c>
      <c r="J45" s="43" t="s">
        <v>60</v>
      </c>
      <c r="K45" s="34" t="s">
        <v>61</v>
      </c>
      <c r="L45" s="34">
        <v>0</v>
      </c>
      <c r="M45" s="41">
        <v>0</v>
      </c>
      <c r="N45" s="36">
        <f t="shared" si="7"/>
        <v>0</v>
      </c>
      <c r="O45" s="36">
        <f t="shared" si="8"/>
        <v>0</v>
      </c>
      <c r="P45" s="36">
        <v>0</v>
      </c>
      <c r="Q45" s="36">
        <v>0</v>
      </c>
      <c r="R45" s="36">
        <f t="shared" si="9"/>
        <v>0</v>
      </c>
      <c r="S45" s="36">
        <f t="shared" si="10"/>
        <v>0</v>
      </c>
      <c r="T45" s="34">
        <v>0</v>
      </c>
      <c r="U45" s="36">
        <f t="shared" si="11"/>
        <v>0</v>
      </c>
    </row>
    <row r="46" spans="1:21">
      <c r="A46" s="34">
        <v>44</v>
      </c>
      <c r="C46" s="34" t="s">
        <v>117</v>
      </c>
      <c r="D46" s="42" t="s">
        <v>118</v>
      </c>
      <c r="E46" s="35">
        <v>45983</v>
      </c>
      <c r="F46" s="34" t="s">
        <v>56</v>
      </c>
      <c r="G46" s="34" t="s">
        <v>57</v>
      </c>
      <c r="H46" s="34" t="s">
        <v>58</v>
      </c>
      <c r="I46" s="34" t="s">
        <v>59</v>
      </c>
      <c r="J46" s="43" t="s">
        <v>60</v>
      </c>
      <c r="K46" s="34" t="s">
        <v>61</v>
      </c>
      <c r="L46" s="34">
        <v>0</v>
      </c>
      <c r="M46" s="41">
        <v>0</v>
      </c>
      <c r="N46" s="36">
        <f t="shared" si="7"/>
        <v>0</v>
      </c>
      <c r="O46" s="36">
        <f t="shared" si="8"/>
        <v>0</v>
      </c>
      <c r="P46" s="36">
        <v>0</v>
      </c>
      <c r="Q46" s="36">
        <v>0</v>
      </c>
      <c r="R46" s="36">
        <f t="shared" si="9"/>
        <v>0</v>
      </c>
      <c r="S46" s="36">
        <f t="shared" si="10"/>
        <v>0</v>
      </c>
      <c r="T46" s="34">
        <v>0</v>
      </c>
      <c r="U46" s="36">
        <f t="shared" si="11"/>
        <v>0</v>
      </c>
    </row>
    <row r="47" spans="1:21">
      <c r="A47" s="34">
        <v>45</v>
      </c>
      <c r="C47" s="34" t="s">
        <v>119</v>
      </c>
      <c r="D47" s="42" t="s">
        <v>120</v>
      </c>
      <c r="E47" s="35">
        <v>45983</v>
      </c>
      <c r="F47" s="34" t="s">
        <v>56</v>
      </c>
      <c r="G47" s="34" t="s">
        <v>57</v>
      </c>
      <c r="H47" s="34" t="s">
        <v>58</v>
      </c>
      <c r="I47" s="34" t="s">
        <v>59</v>
      </c>
      <c r="J47" s="43" t="s">
        <v>60</v>
      </c>
      <c r="K47" s="34" t="s">
        <v>61</v>
      </c>
      <c r="L47" s="34">
        <v>0</v>
      </c>
      <c r="M47" s="41">
        <v>0</v>
      </c>
      <c r="N47" s="36">
        <f t="shared" si="7"/>
        <v>0</v>
      </c>
      <c r="O47" s="36">
        <f t="shared" si="8"/>
        <v>0</v>
      </c>
      <c r="P47" s="36">
        <v>0</v>
      </c>
      <c r="Q47" s="36">
        <v>0</v>
      </c>
      <c r="R47" s="36">
        <f t="shared" si="9"/>
        <v>0</v>
      </c>
      <c r="S47" s="36">
        <f t="shared" si="10"/>
        <v>0</v>
      </c>
      <c r="T47" s="34">
        <v>0</v>
      </c>
      <c r="U47" s="36">
        <f t="shared" si="11"/>
        <v>0</v>
      </c>
    </row>
    <row r="48" spans="1:21">
      <c r="A48" s="34">
        <v>46</v>
      </c>
      <c r="C48" s="34" t="s">
        <v>121</v>
      </c>
      <c r="D48" s="42" t="s">
        <v>122</v>
      </c>
      <c r="E48" s="35">
        <v>45983</v>
      </c>
      <c r="F48" s="34" t="s">
        <v>56</v>
      </c>
      <c r="G48" s="34" t="s">
        <v>57</v>
      </c>
      <c r="H48" s="34" t="s">
        <v>58</v>
      </c>
      <c r="I48" s="34" t="s">
        <v>59</v>
      </c>
      <c r="J48" s="43" t="s">
        <v>60</v>
      </c>
      <c r="K48" s="34" t="s">
        <v>61</v>
      </c>
      <c r="L48" s="34">
        <v>0</v>
      </c>
      <c r="M48" s="41">
        <v>0</v>
      </c>
      <c r="N48" s="36">
        <f t="shared" si="7"/>
        <v>0</v>
      </c>
      <c r="O48" s="36">
        <f t="shared" si="8"/>
        <v>0</v>
      </c>
      <c r="P48" s="36">
        <v>0</v>
      </c>
      <c r="Q48" s="36">
        <v>0</v>
      </c>
      <c r="R48" s="36">
        <f t="shared" si="9"/>
        <v>0</v>
      </c>
      <c r="S48" s="36">
        <f t="shared" si="10"/>
        <v>0</v>
      </c>
      <c r="T48" s="34">
        <v>0</v>
      </c>
      <c r="U48" s="36">
        <f t="shared" si="11"/>
        <v>0</v>
      </c>
    </row>
    <row r="49" spans="1:21">
      <c r="A49" s="34">
        <v>47</v>
      </c>
      <c r="C49" s="34" t="s">
        <v>123</v>
      </c>
      <c r="D49" s="42" t="s">
        <v>124</v>
      </c>
      <c r="E49" s="35">
        <v>45983</v>
      </c>
      <c r="F49" s="34" t="s">
        <v>56</v>
      </c>
      <c r="G49" s="34" t="s">
        <v>57</v>
      </c>
      <c r="H49" s="34" t="s">
        <v>58</v>
      </c>
      <c r="I49" s="34" t="s">
        <v>59</v>
      </c>
      <c r="J49" s="43" t="s">
        <v>60</v>
      </c>
      <c r="K49" s="34" t="s">
        <v>61</v>
      </c>
      <c r="L49" s="34">
        <v>0</v>
      </c>
      <c r="M49" s="41">
        <v>0</v>
      </c>
      <c r="N49" s="36">
        <f t="shared" si="7"/>
        <v>0</v>
      </c>
      <c r="O49" s="36">
        <f t="shared" si="8"/>
        <v>0</v>
      </c>
      <c r="P49" s="36">
        <v>0</v>
      </c>
      <c r="Q49" s="36">
        <v>0</v>
      </c>
      <c r="R49" s="36">
        <f t="shared" si="9"/>
        <v>0</v>
      </c>
      <c r="S49" s="36">
        <f t="shared" si="10"/>
        <v>0</v>
      </c>
      <c r="T49" s="34">
        <v>0</v>
      </c>
      <c r="U49" s="36">
        <f t="shared" si="11"/>
        <v>0</v>
      </c>
    </row>
    <row r="50" spans="1:21">
      <c r="A50" s="34">
        <v>48</v>
      </c>
      <c r="C50" s="34" t="s">
        <v>125</v>
      </c>
      <c r="D50" s="42" t="s">
        <v>126</v>
      </c>
      <c r="E50" s="35">
        <v>45983</v>
      </c>
      <c r="F50" s="34" t="s">
        <v>56</v>
      </c>
      <c r="G50" s="34" t="s">
        <v>57</v>
      </c>
      <c r="H50" s="34" t="s">
        <v>58</v>
      </c>
      <c r="I50" s="34" t="s">
        <v>59</v>
      </c>
      <c r="J50" s="43" t="s">
        <v>60</v>
      </c>
      <c r="K50" s="34" t="s">
        <v>61</v>
      </c>
      <c r="L50" s="34">
        <v>0</v>
      </c>
      <c r="M50" s="41">
        <v>0</v>
      </c>
      <c r="N50" s="36">
        <f t="shared" si="7"/>
        <v>0</v>
      </c>
      <c r="O50" s="36">
        <f t="shared" si="8"/>
        <v>0</v>
      </c>
      <c r="P50" s="36">
        <v>0</v>
      </c>
      <c r="Q50" s="36">
        <v>0</v>
      </c>
      <c r="R50" s="36">
        <f t="shared" si="9"/>
        <v>0</v>
      </c>
      <c r="S50" s="36">
        <f t="shared" si="10"/>
        <v>0</v>
      </c>
      <c r="T50" s="34">
        <v>0</v>
      </c>
      <c r="U50" s="36">
        <f t="shared" si="11"/>
        <v>0</v>
      </c>
    </row>
    <row r="51" spans="1:21">
      <c r="A51" s="34">
        <v>49</v>
      </c>
      <c r="C51" s="34" t="s">
        <v>127</v>
      </c>
      <c r="D51" s="42" t="s">
        <v>128</v>
      </c>
      <c r="E51" s="35">
        <v>45983</v>
      </c>
      <c r="F51" s="34" t="s">
        <v>56</v>
      </c>
      <c r="G51" s="34" t="s">
        <v>57</v>
      </c>
      <c r="H51" s="34" t="s">
        <v>58</v>
      </c>
      <c r="I51" s="34" t="s">
        <v>59</v>
      </c>
      <c r="J51" s="43" t="s">
        <v>60</v>
      </c>
      <c r="K51" s="34" t="s">
        <v>61</v>
      </c>
      <c r="L51" s="34">
        <v>0</v>
      </c>
      <c r="M51" s="41">
        <v>0</v>
      </c>
      <c r="N51" s="36">
        <f t="shared" si="7"/>
        <v>0</v>
      </c>
      <c r="O51" s="36">
        <f t="shared" si="8"/>
        <v>0</v>
      </c>
      <c r="P51" s="36">
        <v>0</v>
      </c>
      <c r="Q51" s="36">
        <v>0</v>
      </c>
      <c r="R51" s="36">
        <f t="shared" si="9"/>
        <v>0</v>
      </c>
      <c r="S51" s="36">
        <f t="shared" si="10"/>
        <v>0</v>
      </c>
      <c r="T51" s="34">
        <v>0</v>
      </c>
      <c r="U51" s="36">
        <f t="shared" si="11"/>
        <v>0</v>
      </c>
    </row>
    <row r="52" spans="1:21">
      <c r="A52" s="34">
        <v>50</v>
      </c>
      <c r="C52" s="34" t="s">
        <v>129</v>
      </c>
      <c r="D52" s="42" t="s">
        <v>130</v>
      </c>
      <c r="E52" s="35">
        <v>45983</v>
      </c>
      <c r="F52" s="34" t="s">
        <v>56</v>
      </c>
      <c r="G52" s="34" t="s">
        <v>57</v>
      </c>
      <c r="H52" s="34" t="s">
        <v>58</v>
      </c>
      <c r="I52" s="34" t="s">
        <v>59</v>
      </c>
      <c r="J52" s="43" t="s">
        <v>60</v>
      </c>
      <c r="K52" s="34" t="s">
        <v>61</v>
      </c>
      <c r="L52" s="34">
        <v>0</v>
      </c>
      <c r="M52" s="41">
        <v>0</v>
      </c>
      <c r="N52" s="36">
        <f t="shared" si="7"/>
        <v>0</v>
      </c>
      <c r="O52" s="36">
        <f t="shared" si="8"/>
        <v>0</v>
      </c>
      <c r="P52" s="36">
        <v>0</v>
      </c>
      <c r="Q52" s="36">
        <v>0</v>
      </c>
      <c r="R52" s="36">
        <f t="shared" si="9"/>
        <v>0</v>
      </c>
      <c r="S52" s="36">
        <f t="shared" si="10"/>
        <v>0</v>
      </c>
      <c r="T52" s="34">
        <v>0</v>
      </c>
      <c r="U52" s="36">
        <f t="shared" si="11"/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51"/>
  <sheetViews>
    <sheetView showGridLines="0" tabSelected="1" view="pageBreakPreview" topLeftCell="A31" zoomScaleNormal="100" workbookViewId="0">
      <selection activeCell="G4" sqref="G4"/>
    </sheetView>
  </sheetViews>
  <sheetFormatPr defaultColWidth="9" defaultRowHeight="15"/>
  <cols>
    <col min="1" max="1" width="40.7109375" customWidth="1"/>
    <col min="2" max="2" width="4.5703125" customWidth="1"/>
    <col min="3" max="3" width="18.5703125" customWidth="1"/>
    <col min="4" max="4" width="8.85546875" customWidth="1"/>
    <col min="5" max="5" width="8" customWidth="1"/>
    <col min="6" max="6" width="15.7109375" customWidth="1"/>
    <col min="7" max="7" width="24.140625" customWidth="1"/>
    <col min="8" max="8" width="5.28515625" customWidth="1"/>
  </cols>
  <sheetData>
    <row r="1" spans="1:7" ht="35.25">
      <c r="A1" s="46" t="s">
        <v>2</v>
      </c>
      <c r="B1" s="46"/>
      <c r="C1" s="46"/>
    </row>
    <row r="2" spans="1:7" ht="30">
      <c r="A2" s="47" t="s">
        <v>131</v>
      </c>
      <c r="B2" s="47"/>
      <c r="C2" s="47"/>
      <c r="D2" s="3"/>
      <c r="E2" s="4"/>
      <c r="F2" s="4"/>
      <c r="G2" s="4"/>
    </row>
    <row r="3" spans="1:7">
      <c r="A3" s="5" t="s">
        <v>132</v>
      </c>
      <c r="B3" s="3"/>
      <c r="C3" s="3"/>
      <c r="D3" s="3"/>
      <c r="E3" s="6"/>
      <c r="F3" s="6" t="s">
        <v>1</v>
      </c>
      <c r="G3" s="7">
        <f>VLOOKUP(G4,'Rekap Invoice'!$C$3:$E$52,3,FALSE)</f>
        <v>46219</v>
      </c>
    </row>
    <row r="4" spans="1:7">
      <c r="A4" s="5" t="s">
        <v>133</v>
      </c>
      <c r="B4" s="3"/>
      <c r="C4" s="3"/>
      <c r="D4" s="3"/>
      <c r="E4" s="6"/>
      <c r="F4" s="6" t="s">
        <v>134</v>
      </c>
      <c r="G4" s="8" t="s">
        <v>191</v>
      </c>
    </row>
    <row r="5" spans="1:7">
      <c r="A5" s="5" t="s">
        <v>135</v>
      </c>
      <c r="B5" s="3"/>
      <c r="C5" s="3"/>
      <c r="D5" s="3"/>
      <c r="E5" s="6"/>
      <c r="F5" s="6" t="s">
        <v>3</v>
      </c>
      <c r="G5" s="44" t="str">
        <f>VLOOKUP(G4,'Rekap Invoice'!$C$3:$D$52,2,FALSE)</f>
        <v>022</v>
      </c>
    </row>
    <row r="6" spans="1:7">
      <c r="A6" s="9"/>
      <c r="B6" s="3"/>
      <c r="C6" s="3"/>
      <c r="D6" s="3"/>
      <c r="E6" s="6"/>
      <c r="F6" s="6" t="s">
        <v>4</v>
      </c>
      <c r="G6" s="10">
        <f>VLOOKUP(G4,'Rekap Invoice'!$C$3:$E$52,3,FALSE)</f>
        <v>46219</v>
      </c>
    </row>
    <row r="7" spans="1:7">
      <c r="B7" s="3"/>
      <c r="C7" s="3"/>
      <c r="D7" s="3"/>
      <c r="E7" s="4"/>
      <c r="F7" s="4"/>
      <c r="G7" s="4"/>
    </row>
    <row r="8" spans="1:7">
      <c r="B8" s="3"/>
      <c r="C8" s="3"/>
      <c r="D8" s="3"/>
      <c r="E8" s="4"/>
      <c r="F8" s="4"/>
      <c r="G8" s="4"/>
    </row>
    <row r="9" spans="1:7" ht="16.5">
      <c r="A9" s="48" t="s">
        <v>136</v>
      </c>
      <c r="B9" s="48"/>
      <c r="C9" s="48"/>
      <c r="D9" s="48"/>
      <c r="E9" s="48"/>
      <c r="F9" s="48"/>
      <c r="G9" s="48"/>
    </row>
    <row r="10" spans="1:7" ht="16.5">
      <c r="A10" s="11"/>
      <c r="B10" s="11"/>
      <c r="C10" s="11"/>
      <c r="D10" s="11"/>
      <c r="E10" s="11"/>
      <c r="F10" s="11"/>
      <c r="G10" s="11"/>
    </row>
    <row r="11" spans="1:7">
      <c r="A11" s="12" t="s">
        <v>137</v>
      </c>
      <c r="B11" s="13" t="s">
        <v>138</v>
      </c>
      <c r="C11" s="14" t="str">
        <f>VLOOKUP(G4,'Rekap Invoice'!$C$3:$F$52,4,FALSE)</f>
        <v xml:space="preserve">Ibu April </v>
      </c>
      <c r="D11" s="13"/>
      <c r="E11" s="15"/>
      <c r="F11" s="15"/>
      <c r="G11" s="15"/>
    </row>
    <row r="12" spans="1:7">
      <c r="A12" s="12" t="s">
        <v>139</v>
      </c>
      <c r="B12" s="13" t="s">
        <v>138</v>
      </c>
      <c r="C12" s="49" t="str">
        <f>VLOOKUP(G4,'Rekap Invoice'!$C$3:$G$52,5,FALSE)</f>
        <v xml:space="preserve">PT. Belirang Kalisari </v>
      </c>
      <c r="D12" s="49"/>
      <c r="E12" s="49"/>
      <c r="F12" s="49"/>
      <c r="G12" s="49"/>
    </row>
    <row r="13" spans="1:7">
      <c r="A13" s="12" t="s">
        <v>140</v>
      </c>
      <c r="B13" s="13" t="s">
        <v>138</v>
      </c>
      <c r="C13" s="49" t="str">
        <f>VLOOKUP(G4,'Rekap Invoice'!$C$3:$H$52,6,FALSE)</f>
        <v xml:space="preserve">Jl Karanggayam I 2A Surabaya 60136 Indonesia </v>
      </c>
      <c r="D13" s="49"/>
      <c r="E13" s="49"/>
      <c r="F13" s="49"/>
      <c r="G13" s="49"/>
    </row>
    <row r="14" spans="1:7">
      <c r="A14" s="12" t="s">
        <v>141</v>
      </c>
      <c r="B14" s="13" t="s">
        <v>138</v>
      </c>
      <c r="C14" s="49" t="str">
        <f>VLOOKUP(G4,'Rekap Invoice'!$C$3:$I$54,7,FALSE)</f>
        <v xml:space="preserve">Jawa Timur </v>
      </c>
      <c r="D14" s="49"/>
      <c r="E14" s="49"/>
      <c r="F14" s="49"/>
      <c r="G14" s="49"/>
    </row>
    <row r="15" spans="1:7">
      <c r="A15" s="12" t="s">
        <v>142</v>
      </c>
      <c r="B15" s="13" t="s">
        <v>138</v>
      </c>
      <c r="C15" s="50" t="str">
        <f>VLOOKUP(G4,'Rekap Invoice'!$C$3:$J$53,8,FALSE)</f>
        <v>+62-812-7958-5758</v>
      </c>
      <c r="D15" s="49"/>
      <c r="E15" s="49"/>
      <c r="F15" s="49"/>
      <c r="G15" s="49"/>
    </row>
    <row r="16" spans="1:7">
      <c r="A16" s="3"/>
      <c r="B16" s="3"/>
      <c r="C16" s="3"/>
      <c r="D16" s="3"/>
      <c r="E16" s="16"/>
      <c r="F16" s="16"/>
      <c r="G16" s="16"/>
    </row>
    <row r="17" spans="1:7" ht="16.5">
      <c r="A17" s="51" t="s">
        <v>10</v>
      </c>
      <c r="B17" s="52"/>
      <c r="C17" s="52"/>
      <c r="D17" s="52"/>
      <c r="E17" s="17" t="s">
        <v>11</v>
      </c>
      <c r="F17" s="17" t="s">
        <v>12</v>
      </c>
      <c r="G17" s="18" t="s">
        <v>13</v>
      </c>
    </row>
    <row r="18" spans="1:7">
      <c r="A18" s="53" t="str">
        <f>VLOOKUP(G4,'Rekap Invoice'!$C$3:$R$53,9,FALSE)</f>
        <v>Biaya Ocean freight Door - Fio PT. Indah Kiat PRW 5 x 20GP all in</v>
      </c>
      <c r="B18" s="54"/>
      <c r="C18" s="54"/>
      <c r="D18" s="12"/>
      <c r="E18" s="19">
        <f>VLOOKUP(G4,'Rekap Invoice'!$C$3:$U$55,10,FALSE)</f>
        <v>5</v>
      </c>
      <c r="F18" s="20">
        <f>VLOOKUP(G4,'Rekap Invoice'!$C$3:$V$53,11,FALSE)</f>
        <v>16250000</v>
      </c>
      <c r="G18" s="21">
        <f>VLOOKUP(G4,'Rekap Invoice'!$C$3:$U$53,12,FALSE)</f>
        <v>81250000</v>
      </c>
    </row>
    <row r="19" spans="1:7">
      <c r="A19" s="53"/>
      <c r="B19" s="54"/>
      <c r="C19" s="54"/>
      <c r="D19" s="12"/>
      <c r="E19" s="19"/>
      <c r="F19" s="19"/>
      <c r="G19" s="21">
        <f t="shared" ref="G19:G33" si="0">E19*F19</f>
        <v>0</v>
      </c>
    </row>
    <row r="20" spans="1:7">
      <c r="A20" s="53"/>
      <c r="B20" s="54"/>
      <c r="C20" s="54"/>
      <c r="D20" s="12"/>
      <c r="E20" s="19"/>
      <c r="F20" s="19"/>
      <c r="G20" s="21">
        <f t="shared" si="0"/>
        <v>0</v>
      </c>
    </row>
    <row r="21" spans="1:7">
      <c r="A21" s="53"/>
      <c r="B21" s="54"/>
      <c r="C21" s="54"/>
      <c r="D21" s="12"/>
      <c r="E21" s="19"/>
      <c r="F21" s="19"/>
      <c r="G21" s="21">
        <f t="shared" si="0"/>
        <v>0</v>
      </c>
    </row>
    <row r="22" spans="1:7">
      <c r="A22" s="53"/>
      <c r="B22" s="54"/>
      <c r="C22" s="54"/>
      <c r="D22" s="12"/>
      <c r="E22" s="19"/>
      <c r="F22" s="19"/>
      <c r="G22" s="21">
        <f t="shared" si="0"/>
        <v>0</v>
      </c>
    </row>
    <row r="23" spans="1:7">
      <c r="A23" s="53"/>
      <c r="B23" s="54"/>
      <c r="C23" s="54"/>
      <c r="D23" s="12"/>
      <c r="E23" s="19"/>
      <c r="F23" s="19"/>
      <c r="G23" s="21">
        <f t="shared" si="0"/>
        <v>0</v>
      </c>
    </row>
    <row r="24" spans="1:7">
      <c r="A24" s="53"/>
      <c r="B24" s="54"/>
      <c r="C24" s="54"/>
      <c r="D24" s="12"/>
      <c r="E24" s="19"/>
      <c r="F24" s="19"/>
      <c r="G24" s="21">
        <f t="shared" si="0"/>
        <v>0</v>
      </c>
    </row>
    <row r="25" spans="1:7">
      <c r="A25" s="53"/>
      <c r="B25" s="54"/>
      <c r="C25" s="54"/>
      <c r="D25" s="12"/>
      <c r="E25" s="19"/>
      <c r="F25" s="19"/>
      <c r="G25" s="21">
        <f t="shared" si="0"/>
        <v>0</v>
      </c>
    </row>
    <row r="26" spans="1:7">
      <c r="A26" s="53"/>
      <c r="B26" s="54"/>
      <c r="C26" s="54"/>
      <c r="D26" s="12"/>
      <c r="E26" s="19"/>
      <c r="F26" s="19"/>
      <c r="G26" s="21">
        <f t="shared" si="0"/>
        <v>0</v>
      </c>
    </row>
    <row r="27" spans="1:7">
      <c r="A27" s="53"/>
      <c r="B27" s="54"/>
      <c r="C27" s="54"/>
      <c r="D27" s="12"/>
      <c r="E27" s="19"/>
      <c r="F27" s="19"/>
      <c r="G27" s="21">
        <f t="shared" si="0"/>
        <v>0</v>
      </c>
    </row>
    <row r="28" spans="1:7">
      <c r="A28" s="53"/>
      <c r="B28" s="54"/>
      <c r="C28" s="54"/>
      <c r="D28" s="12"/>
      <c r="E28" s="19"/>
      <c r="F28" s="19"/>
      <c r="G28" s="21">
        <f t="shared" si="0"/>
        <v>0</v>
      </c>
    </row>
    <row r="29" spans="1:7">
      <c r="A29" s="53"/>
      <c r="B29" s="54"/>
      <c r="C29" s="54"/>
      <c r="D29" s="12"/>
      <c r="E29" s="19"/>
      <c r="F29" s="19"/>
      <c r="G29" s="21">
        <f t="shared" si="0"/>
        <v>0</v>
      </c>
    </row>
    <row r="30" spans="1:7">
      <c r="A30" s="53"/>
      <c r="B30" s="54"/>
      <c r="C30" s="54"/>
      <c r="D30" s="12"/>
      <c r="E30" s="19"/>
      <c r="F30" s="19"/>
      <c r="G30" s="21">
        <f t="shared" si="0"/>
        <v>0</v>
      </c>
    </row>
    <row r="31" spans="1:7">
      <c r="A31" s="53"/>
      <c r="B31" s="54"/>
      <c r="C31" s="54"/>
      <c r="D31" s="12"/>
      <c r="E31" s="19"/>
      <c r="F31" s="19"/>
      <c r="G31" s="21">
        <f t="shared" si="0"/>
        <v>0</v>
      </c>
    </row>
    <row r="32" spans="1:7">
      <c r="A32" s="53"/>
      <c r="B32" s="54"/>
      <c r="C32" s="54"/>
      <c r="D32" s="12"/>
      <c r="E32" s="19"/>
      <c r="F32" s="19"/>
      <c r="G32" s="21">
        <f t="shared" si="0"/>
        <v>0</v>
      </c>
    </row>
    <row r="33" spans="1:7">
      <c r="A33" s="53"/>
      <c r="B33" s="54"/>
      <c r="C33" s="54"/>
      <c r="D33" s="22"/>
      <c r="E33" s="19"/>
      <c r="F33" s="19"/>
      <c r="G33" s="21">
        <f t="shared" si="0"/>
        <v>0</v>
      </c>
    </row>
    <row r="34" spans="1:7">
      <c r="A34" s="23"/>
      <c r="B34" s="23"/>
      <c r="C34" s="23"/>
      <c r="D34" s="24" t="s">
        <v>143</v>
      </c>
      <c r="E34" s="25" t="s">
        <v>144</v>
      </c>
      <c r="F34" s="25"/>
      <c r="G34" s="26">
        <f>VLOOKUP(G4,'Rekap Invoice'!$C$3:$U$53,13,FALSE)</f>
        <v>81250000</v>
      </c>
    </row>
    <row r="35" spans="1:7" ht="16.5">
      <c r="A35" s="3"/>
      <c r="B35" s="3"/>
      <c r="C35" s="3"/>
      <c r="D35" s="27"/>
      <c r="E35" s="16" t="s">
        <v>145</v>
      </c>
      <c r="F35" s="16"/>
      <c r="G35" s="26">
        <f>VLOOKUP(G4,'Rekap Invoice'!$C$3:$P$52,14,FALSE)</f>
        <v>0</v>
      </c>
    </row>
    <row r="36" spans="1:7">
      <c r="A36" s="55" t="s">
        <v>146</v>
      </c>
      <c r="B36" s="56"/>
      <c r="C36" s="57"/>
      <c r="D36" s="3"/>
      <c r="E36" s="16" t="s">
        <v>147</v>
      </c>
      <c r="F36" s="16"/>
      <c r="G36" s="26">
        <f>VLOOKUP(G4,'Rekap Invoice'!$C$3:$Q$52,15,FALSE)</f>
        <v>0</v>
      </c>
    </row>
    <row r="37" spans="1:7">
      <c r="A37" s="58" t="s">
        <v>148</v>
      </c>
      <c r="B37" s="59"/>
      <c r="C37" s="60"/>
      <c r="D37" s="3"/>
      <c r="E37" s="16" t="s">
        <v>17</v>
      </c>
      <c r="F37" s="16"/>
      <c r="G37" s="26">
        <f>VLOOKUP(G4,'Rekap Invoice'!$C$3:$S$53,16,FALSE)</f>
        <v>0</v>
      </c>
    </row>
    <row r="38" spans="1:7">
      <c r="A38" s="61" t="s">
        <v>149</v>
      </c>
      <c r="B38" s="62"/>
      <c r="C38" s="63"/>
      <c r="D38" s="3"/>
      <c r="E38" s="16" t="s">
        <v>18</v>
      </c>
      <c r="F38" s="16"/>
      <c r="G38" s="26">
        <f>VLOOKUP(G4,'Rekap Invoice'!$C$3:$U$52,17,FALSE)</f>
        <v>0</v>
      </c>
    </row>
    <row r="39" spans="1:7">
      <c r="A39" s="61" t="s">
        <v>150</v>
      </c>
      <c r="B39" s="62"/>
      <c r="C39" s="63"/>
      <c r="D39" s="3"/>
      <c r="E39" s="28" t="s">
        <v>151</v>
      </c>
      <c r="F39" s="28"/>
      <c r="G39" s="29">
        <f>VLOOKUP(G4,'Rekap Invoice'!$C$3:$T$52,18,FALSE)</f>
        <v>0</v>
      </c>
    </row>
    <row r="40" spans="1:7" ht="16.5">
      <c r="A40" s="61" t="s">
        <v>152</v>
      </c>
      <c r="B40" s="62"/>
      <c r="C40" s="63"/>
      <c r="D40" s="3"/>
      <c r="E40" s="30" t="s">
        <v>20</v>
      </c>
      <c r="F40" s="30"/>
      <c r="G40" s="31">
        <f>VLOOKUP(G4,'Rekap Invoice'!$C$3:$U$52,19,FALSE)</f>
        <v>0</v>
      </c>
    </row>
    <row r="41" spans="1:7">
      <c r="A41" s="61" t="s">
        <v>153</v>
      </c>
      <c r="B41" s="62"/>
      <c r="C41" s="63"/>
      <c r="D41" s="3"/>
      <c r="E41" s="65" t="s">
        <v>154</v>
      </c>
      <c r="F41" s="65"/>
      <c r="G41" s="65"/>
    </row>
    <row r="42" spans="1:7">
      <c r="A42" s="61" t="s">
        <v>155</v>
      </c>
      <c r="B42" s="62"/>
      <c r="C42" s="63"/>
      <c r="D42" s="3"/>
      <c r="E42" s="66" t="s">
        <v>156</v>
      </c>
      <c r="F42" s="66"/>
      <c r="G42" s="66"/>
    </row>
    <row r="43" spans="1:7">
      <c r="A43" s="4"/>
      <c r="B43" s="4"/>
      <c r="C43" s="4"/>
      <c r="D43" s="4"/>
      <c r="E43" s="4"/>
      <c r="F43" s="4"/>
      <c r="G43" s="4"/>
    </row>
    <row r="44" spans="1:7">
      <c r="A44" s="4"/>
      <c r="B44" s="4"/>
      <c r="C44" s="4"/>
      <c r="D44" s="4"/>
      <c r="E44" s="4"/>
      <c r="F44" s="4"/>
      <c r="G44" s="4"/>
    </row>
    <row r="45" spans="1:7">
      <c r="A45" s="67" t="s">
        <v>157</v>
      </c>
      <c r="B45" s="67"/>
      <c r="C45" s="67"/>
      <c r="D45" s="67"/>
      <c r="E45" s="67"/>
      <c r="F45" s="67"/>
      <c r="G45" s="67"/>
    </row>
    <row r="46" spans="1:7">
      <c r="A46" s="68"/>
      <c r="B46" s="68"/>
      <c r="C46" s="68"/>
      <c r="D46" s="68"/>
      <c r="E46" s="68"/>
      <c r="F46" s="68"/>
      <c r="G46" s="68"/>
    </row>
    <row r="47" spans="1:7">
      <c r="A47" s="32"/>
      <c r="B47" s="32"/>
      <c r="C47" s="32"/>
      <c r="D47" s="32"/>
      <c r="E47" s="32"/>
      <c r="F47" s="32"/>
      <c r="G47" s="32"/>
    </row>
    <row r="48" spans="1:7">
      <c r="A48" s="32"/>
      <c r="B48" s="32"/>
      <c r="C48" s="32"/>
      <c r="D48" s="32"/>
      <c r="E48" s="32"/>
      <c r="F48" s="32"/>
      <c r="G48" s="32"/>
    </row>
    <row r="49" spans="1:7">
      <c r="A49" s="32"/>
      <c r="B49" s="32"/>
      <c r="C49" s="32"/>
      <c r="D49" s="32"/>
      <c r="E49" s="32"/>
      <c r="F49" s="32"/>
      <c r="G49" s="32"/>
    </row>
    <row r="50" spans="1:7" ht="18">
      <c r="A50" s="64" t="s">
        <v>158</v>
      </c>
      <c r="B50" s="64"/>
      <c r="C50" s="64"/>
      <c r="D50" s="64"/>
      <c r="E50" s="64"/>
      <c r="F50" s="64"/>
      <c r="G50" s="64"/>
    </row>
    <row r="51" spans="1:7" ht="20.25" customHeight="1"/>
  </sheetData>
  <autoFilter ref="F3:G6" xr:uid="{00000000-0009-0000-0000-000001000000}"/>
  <mergeCells count="36">
    <mergeCell ref="A50:G50"/>
    <mergeCell ref="E41:G41"/>
    <mergeCell ref="A42:C42"/>
    <mergeCell ref="E42:G42"/>
    <mergeCell ref="A45:G45"/>
    <mergeCell ref="A46:G46"/>
    <mergeCell ref="A37:C37"/>
    <mergeCell ref="A38:C38"/>
    <mergeCell ref="A39:C39"/>
    <mergeCell ref="A40:C40"/>
    <mergeCell ref="A41:C41"/>
    <mergeCell ref="A30:C30"/>
    <mergeCell ref="A31:C31"/>
    <mergeCell ref="A32:C32"/>
    <mergeCell ref="A33:C33"/>
    <mergeCell ref="A36:C36"/>
    <mergeCell ref="A25:C25"/>
    <mergeCell ref="A26:C26"/>
    <mergeCell ref="A27:C27"/>
    <mergeCell ref="A28:C28"/>
    <mergeCell ref="A29:C29"/>
    <mergeCell ref="A20:C20"/>
    <mergeCell ref="A21:C21"/>
    <mergeCell ref="A22:C22"/>
    <mergeCell ref="A23:C23"/>
    <mergeCell ref="A24:C24"/>
    <mergeCell ref="C14:G14"/>
    <mergeCell ref="C15:G15"/>
    <mergeCell ref="A17:D17"/>
    <mergeCell ref="A18:C18"/>
    <mergeCell ref="A19:C19"/>
    <mergeCell ref="A1:C1"/>
    <mergeCell ref="A2:C2"/>
    <mergeCell ref="A9:G9"/>
    <mergeCell ref="C12:G12"/>
    <mergeCell ref="C13:G13"/>
  </mergeCells>
  <conditionalFormatting sqref="A18:G33">
    <cfRule type="expression" dxfId="0" priority="4" stopIfTrue="1">
      <formula>MOD(ROW(),2)=1</formula>
    </cfRule>
  </conditionalFormatting>
  <printOptions horizontalCentered="1"/>
  <pageMargins left="0.5" right="0.5" top="0.5" bottom="0.5" header="0.5" footer="0.25"/>
  <pageSetup scale="85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'Rekap Invoice'!$C$3:$C$52</xm:f>
          </x14:formula1>
          <xm:sqref>G4</xm:sqref>
        </x14:dataValidation>
        <x14:dataValidation type="list" allowBlank="1" showInputMessage="1" showErrorMessage="1" xr:uid="{00000000-0002-0000-0100-000001000000}">
          <x14:formula1>
            <xm:f>'Rekap Invoice'!#REF!</xm:f>
          </x14:formula1>
          <xm:sqref>G5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7"/>
  <sheetViews>
    <sheetView showGridLines="0" workbookViewId="0">
      <selection activeCell="C14" sqref="C14"/>
    </sheetView>
  </sheetViews>
  <sheetFormatPr defaultColWidth="9.140625" defaultRowHeight="15"/>
  <cols>
    <col min="2" max="2" width="15.140625" customWidth="1"/>
    <col min="3" max="3" width="33.140625" customWidth="1"/>
  </cols>
  <sheetData>
    <row r="2" spans="2:3" ht="16.5">
      <c r="B2" s="1" t="s">
        <v>3</v>
      </c>
      <c r="C2" s="1" t="s">
        <v>159</v>
      </c>
    </row>
    <row r="3" spans="2:3" ht="16.5">
      <c r="B3" s="45" t="s">
        <v>22</v>
      </c>
      <c r="C3" s="2" t="s">
        <v>160</v>
      </c>
    </row>
    <row r="4" spans="2:3" ht="16.5">
      <c r="B4" s="45" t="s">
        <v>30</v>
      </c>
      <c r="C4" s="2" t="s">
        <v>32</v>
      </c>
    </row>
    <row r="5" spans="2:3" ht="16.5">
      <c r="B5" s="45" t="s">
        <v>38</v>
      </c>
      <c r="C5" s="2" t="s">
        <v>161</v>
      </c>
    </row>
    <row r="6" spans="2:3" ht="16.5">
      <c r="B6" s="45" t="s">
        <v>41</v>
      </c>
      <c r="C6" s="2" t="s">
        <v>162</v>
      </c>
    </row>
    <row r="7" spans="2:3" ht="16.5">
      <c r="B7" s="45" t="s">
        <v>44</v>
      </c>
      <c r="C7" s="2" t="s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Rekap Invoice</vt:lpstr>
      <vt:lpstr>Invoice 001</vt:lpstr>
      <vt:lpstr>Customer ID</vt:lpstr>
      <vt:lpstr>'Invoice 001'!Print_Area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Invoice Template</dc:title>
  <dc:creator>Vertex42.com</dc:creator>
  <dc:description>(c) 2010-2025 Vertex42 LLC. All Rights Reserved.</dc:description>
  <cp:lastModifiedBy>PC-DIDI</cp:lastModifiedBy>
  <cp:lastPrinted>2026-07-16T02:59:58Z</cp:lastPrinted>
  <dcterms:created xsi:type="dcterms:W3CDTF">2004-08-16T18:44:00Z</dcterms:created>
  <dcterms:modified xsi:type="dcterms:W3CDTF">2026-07-16T03:00:07Z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2010-2025 Vertex42 LLC</vt:lpwstr>
  </property>
  <property fmtid="{D5CDD505-2E9C-101B-9397-08002B2CF9AE}" pid="3" name="Version">
    <vt:lpwstr>1.3.3</vt:lpwstr>
  </property>
  <property fmtid="{D5CDD505-2E9C-101B-9397-08002B2CF9AE}" pid="4" name="Source">
    <vt:lpwstr>https://www.vertex42.com/ExcelTemplates/excel-invoice-template.html</vt:lpwstr>
  </property>
  <property fmtid="{D5CDD505-2E9C-101B-9397-08002B2CF9AE}" pid="5" name="ICV">
    <vt:lpwstr>D577C9BA4F2E4CA8A14D6B5FAE70F1C8_13</vt:lpwstr>
  </property>
  <property fmtid="{D5CDD505-2E9C-101B-9397-08002B2CF9AE}" pid="6" name="KSOProductBuildVer">
    <vt:lpwstr>1033-12.2.0.23196</vt:lpwstr>
  </property>
</Properties>
</file>